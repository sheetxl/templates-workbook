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dev\sheetxl\templates-workbook\templates\highlights\"/>
    </mc:Choice>
  </mc:AlternateContent>
  <xr:revisionPtr revIDLastSave="0" documentId="13_ncr:1_{4B2469A0-7433-4DF8-A388-6435F124A597}" xr6:coauthVersionLast="47" xr6:coauthVersionMax="47" xr10:uidLastSave="{00000000-0000-0000-0000-000000000000}"/>
  <bookViews>
    <workbookView xWindow="1305" yWindow="495" windowWidth="27420" windowHeight="14940" tabRatio="756" xr2:uid="{00000000-000D-0000-FFFF-FFFF00000000}"/>
  </bookViews>
  <sheets>
    <sheet name="Feature Summary" sheetId="19" r:id="rId1"/>
    <sheet name="Calculation" sheetId="31" r:id="rId2"/>
    <sheet name="Cell" sheetId="4" r:id="rId3"/>
    <sheet name="Workbook" sheetId="14" r:id="rId4"/>
    <sheet name="Headers" sheetId="5" r:id="rId5"/>
    <sheet name="Theming" sheetId="9" r:id="rId6"/>
    <sheet name="Drag" sheetId="1" r:id="rId7"/>
    <sheet name="Choosers" sheetId="12" r:id="rId8"/>
    <sheet name="Selection" sheetId="3" r:id="rId9"/>
    <sheet name="Developer" sheetId="10" r:id="rId10"/>
    <sheet name="Copy-Paste" sheetId="7" r:id="rId11"/>
    <sheet name="Tables" sheetId="23" r:id="rId12"/>
    <sheet name="Roadmap" sheetId="13" r:id="rId13"/>
    <sheet name="17.2B" sheetId="1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8" l="1"/>
  <c r="I7" i="18"/>
  <c r="H7" i="18"/>
  <c r="J7" i="18" l="1"/>
</calcChain>
</file>

<file path=xl/sharedStrings.xml><?xml version="1.0" encoding="utf-8"?>
<sst xmlns="http://schemas.openxmlformats.org/spreadsheetml/2006/main" count="853" uniqueCount="517">
  <si>
    <t>Multiple rows/columns</t>
  </si>
  <si>
    <t>yes</t>
  </si>
  <si>
    <t>no</t>
  </si>
  <si>
    <t>Fill</t>
  </si>
  <si>
    <t>Selection</t>
  </si>
  <si>
    <t>Multirange</t>
  </si>
  <si>
    <t>Drag</t>
  </si>
  <si>
    <t>Fill Merges</t>
  </si>
  <si>
    <t>Merge</t>
  </si>
  <si>
    <t>Autofit</t>
  </si>
  <si>
    <t>Overflow</t>
  </si>
  <si>
    <t>Resizable Columns</t>
  </si>
  <si>
    <t>Resizable Rows</t>
  </si>
  <si>
    <t>Typescript</t>
  </si>
  <si>
    <t>React</t>
  </si>
  <si>
    <t>Indent</t>
  </si>
  <si>
    <t>Fill Number trends</t>
  </si>
  <si>
    <t>General</t>
  </si>
  <si>
    <t>Left</t>
  </si>
  <si>
    <t>Right</t>
  </si>
  <si>
    <t>Center</t>
  </si>
  <si>
    <t>Justify</t>
  </si>
  <si>
    <t>Style Rows</t>
  </si>
  <si>
    <t>Style Columns</t>
  </si>
  <si>
    <t>Resizable Columns (Multiple)</t>
  </si>
  <si>
    <t>Resizable Rows (Multiple)</t>
  </si>
  <si>
    <t>Hidden Rows/Columns</t>
  </si>
  <si>
    <t>Wordwrap</t>
  </si>
  <si>
    <t>Simple one row/column fill</t>
  </si>
  <si>
    <t>Fill Date trends</t>
  </si>
  <si>
    <t>Fill Text trends</t>
  </si>
  <si>
    <t>Fill Style/Formatting trends</t>
  </si>
  <si>
    <t>Multirange navigation</t>
  </si>
  <si>
    <t>Multirange removal</t>
  </si>
  <si>
    <t>in progress</t>
  </si>
  <si>
    <t>Multirange copy</t>
  </si>
  <si>
    <t>Merged Rows/Columns</t>
  </si>
  <si>
    <t>HTML Text</t>
  </si>
  <si>
    <t>Font</t>
  </si>
  <si>
    <t>Size</t>
  </si>
  <si>
    <t>Family</t>
  </si>
  <si>
    <t>Letter Spacing</t>
  </si>
  <si>
    <t>Rotation</t>
  </si>
  <si>
    <t>Fill Transposed</t>
  </si>
  <si>
    <t>Shrink to Fit</t>
  </si>
  <si>
    <t>Solid</t>
  </si>
  <si>
    <t>Pattern</t>
  </si>
  <si>
    <t>Gradient</t>
  </si>
  <si>
    <t>Strike</t>
  </si>
  <si>
    <t>Bold</t>
  </si>
  <si>
    <t>Italic</t>
  </si>
  <si>
    <t>Super/Subset</t>
  </si>
  <si>
    <t>All characters</t>
  </si>
  <si>
    <t>Format Editor</t>
  </si>
  <si>
    <t>Coloring formats</t>
  </si>
  <si>
    <t>Drag to Hide/Unhide</t>
  </si>
  <si>
    <t>Hidden Navigation</t>
  </si>
  <si>
    <t>Custom Editors</t>
  </si>
  <si>
    <t>Custom Renderers</t>
  </si>
  <si>
    <t>Custom Overlay / Floating Element</t>
  </si>
  <si>
    <t>Model vs UI</t>
  </si>
  <si>
    <t>Mask Numbers on overflow</t>
  </si>
  <si>
    <t>Fill Rows</t>
  </si>
  <si>
    <t>Fill Columns</t>
  </si>
  <si>
    <t>Align row baselines</t>
  </si>
  <si>
    <t>Horizontal Alignment</t>
  </si>
  <si>
    <t>Vertical Alignment</t>
  </si>
  <si>
    <t>Distributed</t>
  </si>
  <si>
    <t>Center Across Selection</t>
  </si>
  <si>
    <t>Top</t>
  </si>
  <si>
    <t>Middle</t>
  </si>
  <si>
    <t>Bottom</t>
  </si>
  <si>
    <t>Underline Simple</t>
  </si>
  <si>
    <t>Expand to all types?</t>
  </si>
  <si>
    <t>Distribute Indent Toggle</t>
  </si>
  <si>
    <t>Ellipse</t>
  </si>
  <si>
    <t>Not supported in Excel</t>
  </si>
  <si>
    <t>Color Picker</t>
  </si>
  <si>
    <t>Theme Colors</t>
  </si>
  <si>
    <t>Custom Color</t>
  </si>
  <si>
    <t>Eye Dropper</t>
  </si>
  <si>
    <t>Recent Colors</t>
  </si>
  <si>
    <t>Theme Variants</t>
  </si>
  <si>
    <t>Automatic Color</t>
  </si>
  <si>
    <t>Color Preview Support</t>
  </si>
  <si>
    <t>Sheet</t>
  </si>
  <si>
    <t>MultiRange Copy</t>
  </si>
  <si>
    <t>Paste Format</t>
  </si>
  <si>
    <t>Tables</t>
  </si>
  <si>
    <t>Currency</t>
  </si>
  <si>
    <t>Accounting</t>
  </si>
  <si>
    <t>Short Date</t>
  </si>
  <si>
    <t>Long Date</t>
  </si>
  <si>
    <t>Time</t>
  </si>
  <si>
    <t>Comma</t>
  </si>
  <si>
    <t>Percentage</t>
  </si>
  <si>
    <t>Fraction</t>
  </si>
  <si>
    <t>Scientific</t>
  </si>
  <si>
    <t>Text</t>
  </si>
  <si>
    <t>Special</t>
  </si>
  <si>
    <t>Custom</t>
  </si>
  <si>
    <t>Conditional Formatting</t>
  </si>
  <si>
    <t>Protected Sheets</t>
  </si>
  <si>
    <t>Data Validation</t>
  </si>
  <si>
    <t>Pivot Tables</t>
  </si>
  <si>
    <t>Images</t>
  </si>
  <si>
    <t>QuotePrefix</t>
  </si>
  <si>
    <t>Drag scroll</t>
  </si>
  <si>
    <t>Drag Fill</t>
  </si>
  <si>
    <t>Rich Text Support</t>
  </si>
  <si>
    <t>Encrypted Workbooks</t>
  </si>
  <si>
    <t xml:space="preserve">Multi-threading / Webworkers </t>
  </si>
  <si>
    <t>Incremental / Streaming loading</t>
  </si>
  <si>
    <t>Sparklines</t>
  </si>
  <si>
    <t>Charts</t>
  </si>
  <si>
    <t>Headless Model API</t>
  </si>
  <si>
    <t xml:space="preserve">Threeshakable and Incrementally/Lazy Load features </t>
  </si>
  <si>
    <t>Complex Animation Support (tweening of cells)</t>
  </si>
  <si>
    <t>SSR</t>
  </si>
  <si>
    <t>Text Rendering</t>
  </si>
  <si>
    <t>Font Fallback</t>
  </si>
  <si>
    <t>Panose</t>
  </si>
  <si>
    <t>Frozen Rows/Columns</t>
  </si>
  <si>
    <t>Paste Conditional Formatting</t>
  </si>
  <si>
    <t>Fill Justify</t>
  </si>
  <si>
    <t>Autofill</t>
  </si>
  <si>
    <t>Day</t>
  </si>
  <si>
    <t>Month</t>
  </si>
  <si>
    <t>Year</t>
  </si>
  <si>
    <t>Styles</t>
  </si>
  <si>
    <t>Merges</t>
  </si>
  <si>
    <t>Linear</t>
  </si>
  <si>
    <t>Text with numbers</t>
  </si>
  <si>
    <t>Dates</t>
  </si>
  <si>
    <t>Writing Data</t>
  </si>
  <si>
    <t>Immutable data structures</t>
  </si>
  <si>
    <t>Denormalize everything (values, styles, formats)</t>
  </si>
  <si>
    <t>Every element is a virtual element</t>
  </si>
  <si>
    <t>Bulk operations</t>
  </si>
  <si>
    <t>Contentful navigation across merged cells and hidden cells requires special care</t>
  </si>
  <si>
    <t>Webworkers</t>
  </si>
  <si>
    <t>Reading Data</t>
  </si>
  <si>
    <t>Virtual Scrolling</t>
  </si>
  <si>
    <t>Not all elements fit nicely into a bounded cells</t>
  </si>
  <si>
    <t>Even the scrollbar needs to be rethought</t>
  </si>
  <si>
    <t>A non-linear scrollbar gives user the ability to finely control scrolling near their current point but allow for large areas to be scrolled further from their locations</t>
  </si>
  <si>
    <t>Non sequential memory reads are ~50x slower</t>
  </si>
  <si>
    <t>Optimize rows/headers/cols/ranges</t>
  </si>
  <si>
    <t>Plain Text, CSV</t>
  </si>
  <si>
    <t>Browsers don't handle even empty elements greater than 600k pixels; they run into rounding errors and the browser events become unbounded around 600k animations quits working and more</t>
  </si>
  <si>
    <t>Always try to store like information together. This gives big effeciencies but creates strange exceptions. (Like negative spaces in header formatting.) Cell Stubs?</t>
  </si>
  <si>
    <t>Static rendering can be recycled but 'live elements' like buttons, charts, and custom other custom elements require special lifecycle management</t>
  </si>
  <si>
    <t>Rows</t>
  </si>
  <si>
    <t>Columns</t>
  </si>
  <si>
    <t>Total</t>
  </si>
  <si>
    <t>Editor / Input Parsing</t>
  </si>
  <si>
    <t>Percent</t>
  </si>
  <si>
    <t>Boolean</t>
  </si>
  <si>
    <t>Round decimals to fit cell</t>
  </si>
  <si>
    <t>Border</t>
  </si>
  <si>
    <t>Inside / Outside Range</t>
  </si>
  <si>
    <t>Double Style</t>
  </si>
  <si>
    <t>Span across cells for clean borders</t>
  </si>
  <si>
    <t>Increase / Decrease Percent</t>
  </si>
  <si>
    <t>Diagonal Borders</t>
  </si>
  <si>
    <t>for loops will always create a performance issue</t>
  </si>
  <si>
    <t>Expand Data to selection area</t>
  </si>
  <si>
    <t>Autocomplete Shared Strings</t>
  </si>
  <si>
    <t>Remaining Excel Features</t>
  </si>
  <si>
    <t>Planned Features Beyond Excel</t>
  </si>
  <si>
    <t>Comments</t>
  </si>
  <si>
    <t>Register custom dynamic fonts</t>
  </si>
  <si>
    <t>Date (18 flavors)</t>
  </si>
  <si>
    <t>Time (11 flavors)</t>
  </si>
  <si>
    <t>BigDecimal for &gt; 15 decimal places</t>
  </si>
  <si>
    <t>Underline Double</t>
  </si>
  <si>
    <t>Underline Accounting Single</t>
  </si>
  <si>
    <t>Underline Accounting Double</t>
  </si>
  <si>
    <t>Stacked Text (Vertical Text in UI)</t>
  </si>
  <si>
    <t>Paste Links</t>
  </si>
  <si>
    <t>Paste Transpose</t>
  </si>
  <si>
    <t>Paste Formulas</t>
  </si>
  <si>
    <t>Application Level Theming</t>
  </si>
  <si>
    <t>Office Theme Colors</t>
  </si>
  <si>
    <t>Support for Switching Office theme colors</t>
  </si>
  <si>
    <t>Outline</t>
  </si>
  <si>
    <t>Shadow</t>
  </si>
  <si>
    <t>Paste Special Dialog</t>
  </si>
  <si>
    <t>Growth</t>
  </si>
  <si>
    <t>Mixed Types</t>
  </si>
  <si>
    <t>Light Mode / Dark Mode</t>
  </si>
  <si>
    <t>Scale based on Theme</t>
  </si>
  <si>
    <t>Scale Zoom bar</t>
  </si>
  <si>
    <t>Scale Zoom shortcut</t>
  </si>
  <si>
    <t>Scale Embeded widgets/Overlays</t>
  </si>
  <si>
    <t>Scale to fit selection</t>
  </si>
  <si>
    <t>Merge Cells</t>
  </si>
  <si>
    <t>Merge navigation across</t>
  </si>
  <si>
    <t>Merge navigation within</t>
  </si>
  <si>
    <t>Merge Vertical</t>
  </si>
  <si>
    <t>Merge Horizontal</t>
  </si>
  <si>
    <t>Merge Copy/Paste</t>
  </si>
  <si>
    <t>Merge Autofill</t>
  </si>
  <si>
    <t>Merge Transpose</t>
  </si>
  <si>
    <t>Merge contentful navigation</t>
  </si>
  <si>
    <t>Quick Preview</t>
  </si>
  <si>
    <t>Slanted Style</t>
  </si>
  <si>
    <t>Border Draw Mode</t>
  </si>
  <si>
    <t>Views</t>
  </si>
  <si>
    <t>Formula View</t>
  </si>
  <si>
    <t>Tooltip Preview</t>
  </si>
  <si>
    <t>Paste Content Only</t>
  </si>
  <si>
    <t>HTML Copy / Paste</t>
  </si>
  <si>
    <t>Number Formatting</t>
  </si>
  <si>
    <t>Styling</t>
  </si>
  <si>
    <t>partial</t>
  </si>
  <si>
    <t>Navigation via Enter/Tab</t>
  </si>
  <si>
    <t>Fill with Blanks</t>
  </si>
  <si>
    <t>Scaling/Zoom</t>
  </si>
  <si>
    <t>Multi-user/Multi-player/Collaboration</t>
  </si>
  <si>
    <t>Git Integration with Undo/Redo so that every change can be versioned/forked/etc</t>
  </si>
  <si>
    <t>SheetXL</t>
  </si>
  <si>
    <t>Cell Features</t>
  </si>
  <si>
    <t>Merge Spanned Row/Column</t>
  </si>
  <si>
    <t>Import / Export</t>
  </si>
  <si>
    <t>CSV Import / Export</t>
  </si>
  <si>
    <t>Excel Import</t>
  </si>
  <si>
    <t>Fills (Solid / Pattern / Gradient / Custom)</t>
  </si>
  <si>
    <t>Sheet Features</t>
  </si>
  <si>
    <t>Sorting</t>
  </si>
  <si>
    <t>Find</t>
  </si>
  <si>
    <t>Developer Features</t>
  </si>
  <si>
    <t>Zoom / Scaling</t>
  </si>
  <si>
    <t>Theming</t>
  </si>
  <si>
    <t>Full Office Theming Compatibility</t>
  </si>
  <si>
    <t>Application Theming via Mui</t>
  </si>
  <si>
    <t>AutoFill (numbers, text, dates, styles)</t>
  </si>
  <si>
    <t>Preset Styling</t>
  </si>
  <si>
    <t>Undo / Redo</t>
  </si>
  <si>
    <t>Muli-select with navigation</t>
  </si>
  <si>
    <t>Advanced cell text inputs (number, string, dates, others)</t>
  </si>
  <si>
    <t>Font/Text (Font Family, Sizing, Styling)</t>
  </si>
  <si>
    <t>Borders (all Excel styles and custom options)</t>
  </si>
  <si>
    <t>Horizontal/Vertical Alignments</t>
  </si>
  <si>
    <t>TextOverflow (Wrap, Overflow, Clip, Shrink)</t>
  </si>
  <si>
    <t>Filter Cells/Headers</t>
  </si>
  <si>
    <t>Multiple Sheets</t>
  </si>
  <si>
    <t>Outline/Grouping</t>
  </si>
  <si>
    <t>Short Time</t>
  </si>
  <si>
    <t>Long Time</t>
  </si>
  <si>
    <t>Decimal Symbol</t>
  </si>
  <si>
    <t>Digit grouping Symbol</t>
  </si>
  <si>
    <t>List Separator</t>
  </si>
  <si>
    <t>Currency Symbol</t>
  </si>
  <si>
    <t>Conditionals</t>
  </si>
  <si>
    <t>https://exceljet.net/articles/custom-number-formats</t>
  </si>
  <si>
    <t>Numbers</t>
  </si>
  <si>
    <t>Locale Currency</t>
  </si>
  <si>
    <t>Locale Dates</t>
  </si>
  <si>
    <t>Regional Overrides</t>
  </si>
  <si>
    <t>Regional/Locale Support</t>
  </si>
  <si>
    <t>Drag html/text from another application</t>
  </si>
  <si>
    <t>Drag file to open</t>
  </si>
  <si>
    <t>A forrest of trees. (2x r-trees, b+tree, fennick-tree, quadtree, 2x dag)</t>
  </si>
  <si>
    <t>Merge Expand/Shrink on Insert/Remove Rows/Columns</t>
  </si>
  <si>
    <t>Expand Merge</t>
  </si>
  <si>
    <t>Copy Styles from previous</t>
  </si>
  <si>
    <t>Multiple Range Support</t>
  </si>
  <si>
    <t>Insert Rows/Columns</t>
  </si>
  <si>
    <t>Remove Rows/Columns</t>
  </si>
  <si>
    <t>Copy Styles from previous merge</t>
  </si>
  <si>
    <t>Shortcut Keys</t>
  </si>
  <si>
    <t>Special Border Handling</t>
  </si>
  <si>
    <t>Password</t>
  </si>
  <si>
    <t>Ranges</t>
  </si>
  <si>
    <t>Full Clipboard compatibility with Google Sheets and Microsoft Excel</t>
  </si>
  <si>
    <t>(Max virtual pixels in Excel)</t>
  </si>
  <si>
    <t>572,522,496  is a big number (Max virtual pixels in Excel)</t>
  </si>
  <si>
    <t>Replace</t>
  </si>
  <si>
    <t>Indexer</t>
  </si>
  <si>
    <t>Invert Sheet on Dark Mode</t>
  </si>
  <si>
    <t>Encrypted Workbook</t>
  </si>
  <si>
    <t>Copy/Paste</t>
  </si>
  <si>
    <t>Header/Styles</t>
  </si>
  <si>
    <t>Insert Remove Headers</t>
  </si>
  <si>
    <t>MUI/React MIT Reference Implementation</t>
  </si>
  <si>
    <t>Dragable sheet tabs</t>
  </si>
  <si>
    <t>Developer Experience</t>
  </si>
  <si>
    <t>Developer Examples</t>
  </si>
  <si>
    <t>CSS IN JS Styling (Emotion)</t>
  </si>
  <si>
    <t>Storybook Examples</t>
  </si>
  <si>
    <t>Named Ranges</t>
  </si>
  <si>
    <t>Letter SpacingCustom Fonts</t>
  </si>
  <si>
    <t>Data and formatting tends to be cluster (segment trees and reindex can provide performance and reduce fragmentation)</t>
  </si>
  <si>
    <t>Geospatial indexing solves the needle in the haystack problem</t>
  </si>
  <si>
    <t>SheetXL sheet uses 2 implementations of r-trees. (Optimized for read/scan, optimized for updating, optimized for incremental searching)</t>
  </si>
  <si>
    <t>Find / Search / Goto</t>
  </si>
  <si>
    <t>Goto</t>
  </si>
  <si>
    <t>Undo</t>
  </si>
  <si>
    <t>Redo</t>
  </si>
  <si>
    <t>Redo / Repeat Last Command</t>
  </si>
  <si>
    <t>Global / Per Sheet Undo Stacks</t>
  </si>
  <si>
    <t>Allow Multiple Undo</t>
  </si>
  <si>
    <t>Transactional Operations</t>
  </si>
  <si>
    <t>Undo Descriptions</t>
  </si>
  <si>
    <t>Error Handling for Invalid Undo (like protected sheets)</t>
  </si>
  <si>
    <t>Quick Sort</t>
  </si>
  <si>
    <t>Multi Level sorting</t>
  </si>
  <si>
    <t>Custom Sorting Function</t>
  </si>
  <si>
    <t>Auto detect headers</t>
  </si>
  <si>
    <t>Custom Sort UI</t>
  </si>
  <si>
    <t>Sort by Row / Columns</t>
  </si>
  <si>
    <t>Ignore/Include Hidden Rows/Columns</t>
  </si>
  <si>
    <t>Numbers / Strings /  Dates / Boolean</t>
  </si>
  <si>
    <t>MIT Opensource MUI App</t>
  </si>
  <si>
    <t>Workbook/Sheet/Selection</t>
  </si>
  <si>
    <t>Highlight search</t>
  </si>
  <si>
    <t>Scroll to cell</t>
  </si>
  <si>
    <t>Match case</t>
  </si>
  <si>
    <t>Replace All</t>
  </si>
  <si>
    <t>Match entire contents</t>
  </si>
  <si>
    <t>Sort Merges</t>
  </si>
  <si>
    <t>Format Painter</t>
  </si>
  <si>
    <t>Insert Remove Cells/Headers (Row/Columns)</t>
  </si>
  <si>
    <t>Resizable/Hidden/Autosizing Headers (Row/Columns)</t>
  </si>
  <si>
    <t>Frozen  Headers (Row/Columns)</t>
  </si>
  <si>
    <t>Themes / Cell Styling</t>
  </si>
  <si>
    <t>ellipse in progress, Excel doesn't have this</t>
  </si>
  <si>
    <t>RegEx (Excel does not support)</t>
  </si>
  <si>
    <t>Search byRows/byColumns</t>
  </si>
  <si>
    <t>Find Style/Format</t>
  </si>
  <si>
    <t>Results Table</t>
  </si>
  <si>
    <t>Values/Formulas/Comments/Notes</t>
  </si>
  <si>
    <t>History</t>
  </si>
  <si>
    <t>React UI</t>
  </si>
  <si>
    <t>Headless/No dependency API</t>
  </si>
  <si>
    <t>Next</t>
  </si>
  <si>
    <t>Previous (Excel doesn't support this)</t>
  </si>
  <si>
    <t>Excel style wildcard support (~, *, ?)</t>
  </si>
  <si>
    <t>Regional/International Support</t>
  </si>
  <si>
    <t>Repeat Formats</t>
  </si>
  <si>
    <t>Whitespace ('_')</t>
  </si>
  <si>
    <t>Repeat Character ('*')</t>
  </si>
  <si>
    <t>Digit placeholder ('?')</t>
  </si>
  <si>
    <t>Drag selection to move/copy/insert</t>
  </si>
  <si>
    <t>no (Excel doesn't but Google Sheets does)</t>
  </si>
  <si>
    <t>Themed Dark Mode</t>
  </si>
  <si>
    <t>yes (Excel doesn't have this)</t>
  </si>
  <si>
    <t>Formatting</t>
  </si>
  <si>
    <t>Parallel execute of large operations will allow for further scaling</t>
  </si>
  <si>
    <t>Not supported in Excel (but in OOXML spec)</t>
  </si>
  <si>
    <t>Autofill Dialog</t>
  </si>
  <si>
    <t xml:space="preserve">Hyperlinks </t>
  </si>
  <si>
    <t>Internal Copy for protected browsers</t>
  </si>
  <si>
    <t>Multi Shape Select</t>
  </si>
  <si>
    <t>Rows (pixels)</t>
  </si>
  <si>
    <t>Columns(pixels)</t>
  </si>
  <si>
    <t>Cells</t>
  </si>
  <si>
    <t>2 ^ 20</t>
  </si>
  <si>
    <t>2 ^ 14</t>
  </si>
  <si>
    <t>A scrollbar that is 1/2 trillion pixels tall would not be useful to a user because they can't stop on a specific row</t>
  </si>
  <si>
    <t>Never scan 17 billion cells!</t>
  </si>
  <si>
    <t>Insert Table</t>
  </si>
  <si>
    <t>Import from Excel</t>
  </si>
  <si>
    <t>Predefined Formatted Style (x61)</t>
  </si>
  <si>
    <t xml:space="preserve">Custom Format Styles </t>
  </si>
  <si>
    <t>Import custom styles from Excel</t>
  </si>
  <si>
    <t>Import predefined styles from Excel</t>
  </si>
  <si>
    <t>Resize table</t>
  </si>
  <si>
    <t>Import from DataFrame</t>
  </si>
  <si>
    <t>Format Selector</t>
  </si>
  <si>
    <t>Table Formatting</t>
  </si>
  <si>
    <t>Set Default Table Format</t>
  </si>
  <si>
    <t>Banded Rows</t>
  </si>
  <si>
    <t>Banded Columns</t>
  </si>
  <si>
    <t>First Column</t>
  </si>
  <si>
    <t>Last Column</t>
  </si>
  <si>
    <t>Toggle Filter Button</t>
  </si>
  <si>
    <t>Header Row</t>
  </si>
  <si>
    <t>Total Row</t>
  </si>
  <si>
    <t>Structured References</t>
  </si>
  <si>
    <t>Edit Table Name</t>
  </si>
  <si>
    <t>Accessable from Scripts</t>
  </si>
  <si>
    <t>Unique Column names</t>
  </si>
  <si>
    <t>Banded Rows with custom size</t>
  </si>
  <si>
    <t>Banded Columns with custom size</t>
  </si>
  <si>
    <t>Filter Buttons</t>
  </si>
  <si>
    <t>Sort</t>
  </si>
  <si>
    <t>Access using DataFrame API</t>
  </si>
  <si>
    <t>Copy Paste</t>
  </si>
  <si>
    <t>AutoExpand</t>
  </si>
  <si>
    <t>Cut Move</t>
  </si>
  <si>
    <t>Select Row/Columns</t>
  </si>
  <si>
    <t>Resize API</t>
  </si>
  <si>
    <t>Column Headers on Sheet Header</t>
  </si>
  <si>
    <t>Resize Drag Gripper</t>
  </si>
  <si>
    <t>Resize using Range Editor</t>
  </si>
  <si>
    <t>Resize Validation</t>
  </si>
  <si>
    <t>Top Left</t>
  </si>
  <si>
    <t>Top Right</t>
  </si>
  <si>
    <t>Bottom Left</t>
  </si>
  <si>
    <t>Bottom right</t>
  </si>
  <si>
    <t>Toggle Header</t>
  </si>
  <si>
    <t>Toggle Total Row</t>
  </si>
  <si>
    <t>Detect Auto Insert</t>
  </si>
  <si>
    <t>Convert to Range</t>
  </si>
  <si>
    <t>Clear Formats</t>
  </si>
  <si>
    <t>Remove</t>
  </si>
  <si>
    <t>Pivot</t>
  </si>
  <si>
    <t>Export</t>
  </si>
  <si>
    <t>Remove Duplicate</t>
  </si>
  <si>
    <t>Slicers</t>
  </si>
  <si>
    <t>Auto insert total formulas</t>
  </si>
  <si>
    <t>Paste format repeating patterns</t>
  </si>
  <si>
    <t>Header &amp; Total</t>
  </si>
  <si>
    <t>Insert Remove</t>
  </si>
  <si>
    <t>Dialog</t>
  </si>
  <si>
    <t>Shortcut</t>
  </si>
  <si>
    <t>UI Elements</t>
  </si>
  <si>
    <t>API</t>
  </si>
  <si>
    <t>External Data source</t>
  </si>
  <si>
    <t>Table Operations</t>
  </si>
  <si>
    <t>Formula</t>
  </si>
  <si>
    <t>Pivots</t>
  </si>
  <si>
    <t>Add/Remove</t>
  </si>
  <si>
    <t>Filters*</t>
  </si>
  <si>
    <t>Reapply</t>
  </si>
  <si>
    <t>Clear</t>
  </si>
  <si>
    <t>* (filters are not a table features but are used by mostly tables so included here)</t>
  </si>
  <si>
    <t>Advanced copy paste (special, transpose, style, links, repeating, etc)</t>
  </si>
  <si>
    <t>Image Invert Darkmode</t>
  </si>
  <si>
    <t>Preset Office Themes</t>
  </si>
  <si>
    <t>Import Excel Themes</t>
  </si>
  <si>
    <t>Drag tables</t>
  </si>
  <si>
    <t>Drag drawings</t>
  </si>
  <si>
    <t>Cell Style</t>
  </si>
  <si>
    <t>Range Editor</t>
  </si>
  <si>
    <t>Hyper link</t>
  </si>
  <si>
    <t>Number Format</t>
  </si>
  <si>
    <t>Table Format</t>
  </si>
  <si>
    <t>Find / Replace</t>
  </si>
  <si>
    <t>Border Picker</t>
  </si>
  <si>
    <t>Script Editor</t>
  </si>
  <si>
    <t>Inline Typescript editor for fomulas and macros</t>
  </si>
  <si>
    <t>Virtualized (17.1 billion cells)</t>
  </si>
  <si>
    <t>F11 opens a fully usable typescript editor designed to work with no build</t>
  </si>
  <si>
    <t>Server side Virtualization (for infinitely scalable calculations)</t>
  </si>
  <si>
    <t>Server side Virtualization (for infinitely scalable datasets)</t>
  </si>
  <si>
    <t>Custom Widget examples</t>
  </si>
  <si>
    <t>Protected Ranges and Password</t>
  </si>
  <si>
    <t>~17.2 billion cells (1,048,576 x 16,384 cells)</t>
  </si>
  <si>
    <t>Rich Data Types</t>
  </si>
  <si>
    <t>Multirange search</t>
  </si>
  <si>
    <t>Search selection</t>
  </si>
  <si>
    <t>&gt; 17 Billion</t>
  </si>
  <si>
    <t>Excel Import/Export</t>
  </si>
  <si>
    <t>Live Scripting (Office Scripts-style, with user-defined functions)</t>
  </si>
  <si>
    <t>Fast — Autofill 1,048,576 rows of formulas in 0.7s (10M+ formulas/second)</t>
  </si>
  <si>
    <t>SheetXL (.sxl) - High compress lossless format</t>
  </si>
  <si>
    <t>Q4 2026</t>
  </si>
  <si>
    <t>Q1 2027</t>
  </si>
  <si>
    <t>Ribbon + Menu Navigation via keyboard - Sequenced Alt-Key shortcuts, Key-Coords</t>
  </si>
  <si>
    <t>Dark Mode</t>
  </si>
  <si>
    <t>Roadmap</t>
  </si>
  <si>
    <t>Calculation CheckList</t>
  </si>
  <si>
    <t>26 operators</t>
  </si>
  <si>
    <t>UDF - Custom/user-defined functions with realtime editing. (Typescript)</t>
  </si>
  <si>
    <t>Cross-sheet References</t>
  </si>
  <si>
    <t>Named Formulas and Ranges</t>
  </si>
  <si>
    <t>LAMBDA &amp; LET</t>
  </si>
  <si>
    <t>Standard Range Operators — colon (:), space (intersection), comma (union/list)</t>
  </si>
  <si>
    <t>Trim Range Operators — (.:., :., .:)</t>
  </si>
  <si>
    <t>Implicit Intersection Range Operator — (@)</t>
  </si>
  <si>
    <t>Spill Range Operator — (#)</t>
  </si>
  <si>
    <t>3D References</t>
  </si>
  <si>
    <t>Reference-Returning Functions — INDIRECT, OFFSET, INDEX</t>
  </si>
  <si>
    <t>Dynamic Dependencies — Precedents resolved at evaluation time (OFFSET, INDIRECT, SUMIF)</t>
  </si>
  <si>
    <t>Trace References — Precedents/Dependencies, Direct/Recursive</t>
  </si>
  <si>
    <t>Array Arithmetic &amp; Formula Broadcast — {1,2,3}*3, spilled results</t>
  </si>
  <si>
    <t>Implicit Array Lifting</t>
  </si>
  <si>
    <t>Dynamic Arrays (Spill)</t>
  </si>
  <si>
    <t>CSE (Ctrl+Shift+Enter) Legacy Array</t>
  </si>
  <si>
    <t>Error Types Classic — (#NULL!, #DIV/0!, #VALUE!, #REF!, #NAME?, #NUM!, #N/A)</t>
  </si>
  <si>
    <t>Error Types Dynamic — (#SPILL!, #CALC!, etc.)</t>
  </si>
  <si>
    <t>Volatile</t>
  </si>
  <si>
    <t>Copy/Paste/AutoFill</t>
  </si>
  <si>
    <t>Cut/Move/Adjust Precedents</t>
  </si>
  <si>
    <t>Shift Insert/Delete</t>
  </si>
  <si>
    <t>Date Serial Number — 1900 vs 1904</t>
  </si>
  <si>
    <t>NumberFormat - Functions support custom NumberFormat and Copy Inherits</t>
  </si>
  <si>
    <t>Load/Save Excel — (Shared formulas, Dynamic Arrays, Tables)</t>
  </si>
  <si>
    <t>Circular References Detection and Reporting</t>
  </si>
  <si>
    <t>Iterative Calc</t>
  </si>
  <si>
    <t>Formula Recalculation Modes = Automatic, Manual, Automatic-Except Tables</t>
  </si>
  <si>
    <t>External References (Cross-workbook References)</t>
  </si>
  <si>
    <t>SubTotal/Aggregate</t>
  </si>
  <si>
    <t>Goal Seek</t>
  </si>
  <si>
    <t>Data Table (What-If Analysis)</t>
  </si>
  <si>
    <t>R1C1 Reference Style</t>
  </si>
  <si>
    <t>Streaming Functions</t>
  </si>
  <si>
    <t>Multi-threaded - Background calculations</t>
  </si>
  <si>
    <t>Linked Data Types - (Stocks, Geography, Organizational, Power BI)</t>
  </si>
  <si>
    <t>Async Functions</t>
  </si>
  <si>
    <t>High performance. (17B+ cells, 10M ops/second)</t>
  </si>
  <si>
    <t>Autocorrect Formulas</t>
  </si>
  <si>
    <t>545+ Builtin Functions - 120,000+ Tests</t>
  </si>
  <si>
    <t>475+ Excel compatible shortcut keys (all currently known)</t>
  </si>
  <si>
    <t>Image/Hyperlink/FieldValue</t>
  </si>
  <si>
    <t>Dot Operator</t>
  </si>
  <si>
    <t>545+ functions (120K+ unit tests)</t>
  </si>
  <si>
    <t>Newline (Ctrl+J) (Can be achieved using RegEx)</t>
  </si>
  <si>
    <t>Outline Grouping</t>
  </si>
  <si>
    <t>Streaming Function</t>
  </si>
  <si>
    <t>Yes</t>
  </si>
  <si>
    <t>Rest Example</t>
  </si>
  <si>
    <t>(Round trips and Renders)</t>
  </si>
  <si>
    <t>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</si>
</sst>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.00_);[Green]\(&quot;$&quot;#,##0.00\)"/>
    <numFmt numFmtId="167" formatCode="mm/dd/yy;@"/>
    <numFmt numFmtId="168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70C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4" fillId="3" borderId="0" applyNumberFormat="0" applyBorder="0" applyAlignment="0" applyProtection="0"/>
  </cellStyleXfs>
  <cellXfs count="39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44" fontId="0" fillId="0" borderId="0" xfId="0" applyNumberFormat="1"/>
    <xf numFmtId="0" fontId="0" fillId="0" borderId="0" xfId="0" applyAlignment="1">
      <alignment horizontal="left" indent="2"/>
    </xf>
    <xf numFmtId="164" fontId="2" fillId="0" borderId="0" xfId="1" applyNumberFormat="1" applyFont="1"/>
    <xf numFmtId="0" fontId="6" fillId="0" borderId="0" xfId="2"/>
    <xf numFmtId="0" fontId="0" fillId="0" borderId="0" xfId="0" applyAlignment="1">
      <alignment wrapText="1"/>
    </xf>
    <xf numFmtId="0" fontId="7" fillId="0" borderId="0" xfId="0" applyFont="1"/>
    <xf numFmtId="14" fontId="0" fillId="0" borderId="0" xfId="0" applyNumberFormat="1"/>
    <xf numFmtId="0" fontId="9" fillId="0" borderId="0" xfId="0" applyFont="1"/>
    <xf numFmtId="0" fontId="0" fillId="0" borderId="0" xfId="0" applyAlignment="1">
      <alignment horizontal="center"/>
    </xf>
    <xf numFmtId="167" fontId="0" fillId="0" borderId="0" xfId="0" applyNumberFormat="1"/>
    <xf numFmtId="168" fontId="0" fillId="0" borderId="0" xfId="0" applyNumberFormat="1"/>
    <xf numFmtId="0" fontId="10" fillId="0" borderId="0" xfId="0" applyFont="1"/>
    <xf numFmtId="0" fontId="11" fillId="0" borderId="0" xfId="0" applyFont="1"/>
    <xf numFmtId="0" fontId="10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165" fontId="11" fillId="0" borderId="0" xfId="0" applyNumberFormat="1" applyFont="1"/>
    <xf numFmtId="0" fontId="12" fillId="0" borderId="0" xfId="0" applyFont="1"/>
    <xf numFmtId="0" fontId="10" fillId="2" borderId="0" xfId="0" applyFont="1" applyFill="1"/>
    <xf numFmtId="0" fontId="11" fillId="2" borderId="0" xfId="0" applyFont="1" applyFill="1"/>
    <xf numFmtId="0" fontId="13" fillId="0" borderId="0" xfId="0" applyFont="1"/>
    <xf numFmtId="0" fontId="0" fillId="0" borderId="0" xfId="0" applyAlignment="1">
      <alignment horizontal="left"/>
    </xf>
    <xf numFmtId="37" fontId="0" fillId="0" borderId="0" xfId="1" applyNumberFormat="1" applyFont="1"/>
    <xf numFmtId="0" fontId="0" fillId="0" borderId="0" xfId="0" applyAlignment="1">
      <alignment horizontal="left" wrapText="1" indent="2"/>
    </xf>
    <xf numFmtId="166" fontId="0" fillId="0" borderId="0" xfId="0" applyNumberFormat="1"/>
    <xf numFmtId="37" fontId="14" fillId="3" borderId="0" xfId="3" applyNumberFormat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</cellXfs>
  <cellStyles count="4">
    <cellStyle name="Comma" xfId="1" builtinId="3"/>
    <cellStyle name="Hyperlink" xfId="2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76200</xdr:rowOff>
    </xdr:from>
    <xdr:to>
      <xdr:col>0</xdr:col>
      <xdr:colOff>1791201</xdr:colOff>
      <xdr:row>0</xdr:row>
      <xdr:rowOff>504469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2A597B76-E76B-44CD-AC35-ECD92FF09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76200"/>
          <a:ext cx="1562601" cy="4282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0</xdr:col>
      <xdr:colOff>1724526</xdr:colOff>
      <xdr:row>0</xdr:row>
      <xdr:rowOff>494944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D22A57B5-5D89-4037-8E3D-811605591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1925" y="66675"/>
          <a:ext cx="1562601" cy="4282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0</xdr:col>
      <xdr:colOff>1724526</xdr:colOff>
      <xdr:row>0</xdr:row>
      <xdr:rowOff>494944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9B6A0C2E-7D99-4498-8CD2-FB2D3DA85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1925" y="66675"/>
          <a:ext cx="1562601" cy="428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xceljet.net/articles/custom-number-format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86E8-2D45-4BB9-B425-17DEDF4445BB}">
  <sheetPr codeName="Sheet16">
    <tabColor theme="7" tint="-0.249977111117893"/>
  </sheetPr>
  <dimension ref="A1:B58"/>
  <sheetViews>
    <sheetView tabSelected="1" zoomScaleNormal="100" workbookViewId="0">
      <selection sqref="A1:B1"/>
    </sheetView>
  </sheetViews>
  <sheetFormatPr defaultRowHeight="15" x14ac:dyDescent="0.25"/>
  <cols>
    <col min="1" max="1" width="69.28515625" customWidth="1"/>
    <col min="2" max="2" width="17.42578125" customWidth="1"/>
  </cols>
  <sheetData>
    <row r="1" spans="1:2" s="21" customFormat="1" ht="44.25" customHeight="1" x14ac:dyDescent="0.35">
      <c r="A1" s="35" t="s">
        <v>228</v>
      </c>
      <c r="B1" s="35"/>
    </row>
    <row r="2" spans="1:2" x14ac:dyDescent="0.25">
      <c r="A2" s="4" t="s">
        <v>450</v>
      </c>
      <c r="B2" s="6"/>
    </row>
    <row r="3" spans="1:2" x14ac:dyDescent="0.25">
      <c r="A3" s="4" t="s">
        <v>505</v>
      </c>
      <c r="B3" s="6"/>
    </row>
    <row r="4" spans="1:2" x14ac:dyDescent="0.25">
      <c r="A4" s="3" t="s">
        <v>506</v>
      </c>
    </row>
    <row r="5" spans="1:2" x14ac:dyDescent="0.25">
      <c r="A5" s="3" t="s">
        <v>455</v>
      </c>
    </row>
    <row r="6" spans="1:2" x14ac:dyDescent="0.25">
      <c r="A6" s="3" t="s">
        <v>456</v>
      </c>
    </row>
    <row r="7" spans="1:2" x14ac:dyDescent="0.25">
      <c r="A7" s="3" t="s">
        <v>457</v>
      </c>
    </row>
    <row r="8" spans="1:2" x14ac:dyDescent="0.25">
      <c r="A8" s="3" t="s">
        <v>246</v>
      </c>
    </row>
    <row r="9" spans="1:2" x14ac:dyDescent="0.25">
      <c r="A9" s="3" t="s">
        <v>238</v>
      </c>
    </row>
    <row r="10" spans="1:2" x14ac:dyDescent="0.25">
      <c r="A10" s="3" t="s">
        <v>88</v>
      </c>
    </row>
    <row r="11" spans="1:2" x14ac:dyDescent="0.25">
      <c r="A11" s="3" t="s">
        <v>104</v>
      </c>
    </row>
    <row r="12" spans="1:2" x14ac:dyDescent="0.25">
      <c r="A12" s="3" t="s">
        <v>114</v>
      </c>
    </row>
    <row r="13" spans="1:2" x14ac:dyDescent="0.25">
      <c r="A13" s="3" t="s">
        <v>101</v>
      </c>
      <c r="B13" s="16"/>
    </row>
    <row r="14" spans="1:2" x14ac:dyDescent="0.25">
      <c r="A14" s="3" t="s">
        <v>103</v>
      </c>
      <c r="B14" s="16"/>
    </row>
    <row r="15" spans="1:2" s="3" customFormat="1" x14ac:dyDescent="0.25">
      <c r="A15" s="3" t="s">
        <v>170</v>
      </c>
    </row>
    <row r="16" spans="1:2" x14ac:dyDescent="0.25">
      <c r="A16" s="3" t="s">
        <v>323</v>
      </c>
    </row>
    <row r="17" spans="1:2" x14ac:dyDescent="0.25">
      <c r="A17" s="3" t="s">
        <v>324</v>
      </c>
    </row>
    <row r="18" spans="1:2" x14ac:dyDescent="0.25">
      <c r="A18" s="3" t="s">
        <v>247</v>
      </c>
      <c r="B18" s="16"/>
    </row>
    <row r="19" spans="1:2" x14ac:dyDescent="0.25">
      <c r="A19" s="3" t="s">
        <v>325</v>
      </c>
    </row>
    <row r="20" spans="1:2" x14ac:dyDescent="0.25">
      <c r="A20" s="3" t="s">
        <v>429</v>
      </c>
    </row>
    <row r="21" spans="1:2" x14ac:dyDescent="0.25">
      <c r="A21" s="3" t="s">
        <v>322</v>
      </c>
    </row>
    <row r="22" spans="1:2" x14ac:dyDescent="0.25">
      <c r="A22" s="3" t="s">
        <v>239</v>
      </c>
    </row>
    <row r="23" spans="1:2" x14ac:dyDescent="0.25">
      <c r="A23" s="3" t="s">
        <v>326</v>
      </c>
    </row>
    <row r="24" spans="1:2" x14ac:dyDescent="0.25">
      <c r="A24" s="3" t="s">
        <v>237</v>
      </c>
    </row>
    <row r="25" spans="1:2" x14ac:dyDescent="0.25">
      <c r="A25" s="3" t="s">
        <v>102</v>
      </c>
    </row>
    <row r="26" spans="1:2" x14ac:dyDescent="0.25">
      <c r="A26" s="3" t="s">
        <v>232</v>
      </c>
    </row>
    <row r="27" spans="1:2" x14ac:dyDescent="0.25">
      <c r="A27" s="3" t="s">
        <v>229</v>
      </c>
    </row>
    <row r="28" spans="1:2" x14ac:dyDescent="0.25">
      <c r="A28" s="3" t="s">
        <v>230</v>
      </c>
      <c r="B28" s="16"/>
    </row>
    <row r="29" spans="1:2" x14ac:dyDescent="0.25">
      <c r="A29" s="3" t="s">
        <v>105</v>
      </c>
      <c r="B29" s="16"/>
    </row>
    <row r="30" spans="1:2" x14ac:dyDescent="0.25">
      <c r="A30" s="3" t="s">
        <v>245</v>
      </c>
      <c r="B30" s="16"/>
    </row>
    <row r="31" spans="1:2" s="3" customFormat="1" x14ac:dyDescent="0.25">
      <c r="A31" s="3" t="s">
        <v>449</v>
      </c>
    </row>
    <row r="32" spans="1:2" s="3" customFormat="1" x14ac:dyDescent="0.25">
      <c r="A32" s="3" t="s">
        <v>110</v>
      </c>
    </row>
    <row r="33" spans="1:2" s="21" customFormat="1" ht="21" x14ac:dyDescent="0.35">
      <c r="A33" s="36" t="s">
        <v>222</v>
      </c>
      <c r="B33" s="36"/>
    </row>
    <row r="34" spans="1:2" x14ac:dyDescent="0.25">
      <c r="A34" s="3" t="s">
        <v>223</v>
      </c>
    </row>
    <row r="35" spans="1:2" x14ac:dyDescent="0.25">
      <c r="A35" s="3" t="s">
        <v>242</v>
      </c>
    </row>
    <row r="36" spans="1:2" x14ac:dyDescent="0.25">
      <c r="A36" s="3" t="s">
        <v>236</v>
      </c>
    </row>
    <row r="37" spans="1:2" x14ac:dyDescent="0.25">
      <c r="A37" s="3" t="s">
        <v>243</v>
      </c>
      <c r="B37" s="7"/>
    </row>
    <row r="38" spans="1:2" x14ac:dyDescent="0.25">
      <c r="A38" s="3" t="s">
        <v>244</v>
      </c>
      <c r="B38" s="6" t="s">
        <v>327</v>
      </c>
    </row>
    <row r="39" spans="1:2" x14ac:dyDescent="0.25">
      <c r="A39" s="3" t="s">
        <v>42</v>
      </c>
    </row>
    <row r="40" spans="1:2" x14ac:dyDescent="0.25">
      <c r="A40" s="3" t="s">
        <v>227</v>
      </c>
      <c r="B40" s="16"/>
    </row>
    <row r="41" spans="1:2" x14ac:dyDescent="0.25">
      <c r="A41" s="3" t="s">
        <v>213</v>
      </c>
    </row>
    <row r="42" spans="1:2" x14ac:dyDescent="0.25">
      <c r="A42" s="3" t="s">
        <v>240</v>
      </c>
    </row>
    <row r="43" spans="1:2" x14ac:dyDescent="0.25">
      <c r="A43" s="3" t="s">
        <v>352</v>
      </c>
    </row>
    <row r="44" spans="1:2" x14ac:dyDescent="0.25">
      <c r="A44" s="3" t="s">
        <v>241</v>
      </c>
    </row>
    <row r="45" spans="1:2" s="21" customFormat="1" ht="21" x14ac:dyDescent="0.35">
      <c r="A45" s="36" t="s">
        <v>224</v>
      </c>
      <c r="B45" s="36"/>
    </row>
    <row r="46" spans="1:2" x14ac:dyDescent="0.25">
      <c r="A46" s="3" t="s">
        <v>275</v>
      </c>
      <c r="B46" s="6"/>
    </row>
    <row r="47" spans="1:2" x14ac:dyDescent="0.25">
      <c r="A47" s="3" t="s">
        <v>225</v>
      </c>
      <c r="B47" s="6"/>
    </row>
    <row r="48" spans="1:2" x14ac:dyDescent="0.25">
      <c r="A48" s="3" t="s">
        <v>226</v>
      </c>
    </row>
    <row r="49" spans="1:2" x14ac:dyDescent="0.25">
      <c r="A49" s="3" t="s">
        <v>458</v>
      </c>
      <c r="B49" s="6"/>
    </row>
    <row r="50" spans="1:2" s="21" customFormat="1" ht="21" x14ac:dyDescent="0.35">
      <c r="A50" s="36" t="s">
        <v>233</v>
      </c>
      <c r="B50" s="36"/>
    </row>
    <row r="51" spans="1:2" x14ac:dyDescent="0.25">
      <c r="A51" s="3" t="s">
        <v>234</v>
      </c>
    </row>
    <row r="52" spans="1:2" x14ac:dyDescent="0.25">
      <c r="A52" s="3" t="s">
        <v>462</v>
      </c>
    </row>
    <row r="53" spans="1:2" x14ac:dyDescent="0.25">
      <c r="A53" s="3" t="s">
        <v>235</v>
      </c>
      <c r="B53" s="6"/>
    </row>
    <row r="54" spans="1:2" s="21" customFormat="1" ht="21" x14ac:dyDescent="0.35">
      <c r="A54" s="36" t="s">
        <v>231</v>
      </c>
      <c r="B54" s="36"/>
    </row>
    <row r="55" spans="1:2" x14ac:dyDescent="0.25">
      <c r="A55" s="3" t="s">
        <v>13</v>
      </c>
    </row>
    <row r="56" spans="1:2" x14ac:dyDescent="0.25">
      <c r="A56" s="3" t="s">
        <v>335</v>
      </c>
    </row>
    <row r="57" spans="1:2" x14ac:dyDescent="0.25">
      <c r="A57" s="3" t="s">
        <v>334</v>
      </c>
    </row>
    <row r="58" spans="1:2" x14ac:dyDescent="0.25">
      <c r="A58" s="3" t="s">
        <v>314</v>
      </c>
    </row>
  </sheetData>
  <mergeCells count="5">
    <mergeCell ref="A1:B1"/>
    <mergeCell ref="A50:B50"/>
    <mergeCell ref="A33:B33"/>
    <mergeCell ref="A54:B54"/>
    <mergeCell ref="A45:B4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6F99-23FF-4B43-A8C5-3DA5B42510CC}">
  <sheetPr>
    <tabColor theme="4"/>
  </sheetPr>
  <dimension ref="A1:C48"/>
  <sheetViews>
    <sheetView zoomScaleNormal="100" workbookViewId="0">
      <selection activeCell="A3" sqref="A3"/>
    </sheetView>
  </sheetViews>
  <sheetFormatPr defaultRowHeight="15" x14ac:dyDescent="0.25"/>
  <cols>
    <col min="1" max="1" width="92.7109375" customWidth="1"/>
    <col min="2" max="2" width="12.7109375" customWidth="1"/>
  </cols>
  <sheetData>
    <row r="1" spans="1:1" s="21" customFormat="1" ht="44.25" customHeight="1" x14ac:dyDescent="0.35">
      <c r="A1" s="34" t="s">
        <v>464</v>
      </c>
    </row>
    <row r="2" spans="1:1" ht="17.25" customHeight="1" x14ac:dyDescent="0.25"/>
    <row r="3" spans="1:1" x14ac:dyDescent="0.25">
      <c r="A3" s="3" t="s">
        <v>503</v>
      </c>
    </row>
    <row r="4" spans="1:1" x14ac:dyDescent="0.25">
      <c r="A4" s="3" t="s">
        <v>509</v>
      </c>
    </row>
    <row r="5" spans="1:1" x14ac:dyDescent="0.25">
      <c r="A5" s="3" t="s">
        <v>465</v>
      </c>
    </row>
    <row r="6" spans="1:1" x14ac:dyDescent="0.25">
      <c r="A6" s="3" t="s">
        <v>466</v>
      </c>
    </row>
    <row r="7" spans="1:1" x14ac:dyDescent="0.25">
      <c r="A7" s="3" t="s">
        <v>467</v>
      </c>
    </row>
    <row r="8" spans="1:1" x14ac:dyDescent="0.25">
      <c r="A8" s="3" t="s">
        <v>468</v>
      </c>
    </row>
    <row r="9" spans="1:1" x14ac:dyDescent="0.25">
      <c r="A9" s="3" t="s">
        <v>469</v>
      </c>
    </row>
    <row r="10" spans="1:1" x14ac:dyDescent="0.25">
      <c r="A10" s="3" t="s">
        <v>470</v>
      </c>
    </row>
    <row r="11" spans="1:1" x14ac:dyDescent="0.25">
      <c r="A11" s="3" t="s">
        <v>471</v>
      </c>
    </row>
    <row r="12" spans="1:1" x14ac:dyDescent="0.25">
      <c r="A12" s="3" t="s">
        <v>472</v>
      </c>
    </row>
    <row r="13" spans="1:1" x14ac:dyDescent="0.25">
      <c r="A13" s="3" t="s">
        <v>473</v>
      </c>
    </row>
    <row r="14" spans="1:1" x14ac:dyDescent="0.25">
      <c r="A14" s="3" t="s">
        <v>474</v>
      </c>
    </row>
    <row r="15" spans="1:1" x14ac:dyDescent="0.25">
      <c r="A15" s="3" t="s">
        <v>380</v>
      </c>
    </row>
    <row r="16" spans="1:1" x14ac:dyDescent="0.25">
      <c r="A16" s="3" t="s">
        <v>475</v>
      </c>
    </row>
    <row r="17" spans="1:2" x14ac:dyDescent="0.25">
      <c r="A17" s="3" t="s">
        <v>476</v>
      </c>
    </row>
    <row r="18" spans="1:2" x14ac:dyDescent="0.25">
      <c r="A18" s="3" t="s">
        <v>477</v>
      </c>
    </row>
    <row r="19" spans="1:2" x14ac:dyDescent="0.25">
      <c r="A19" s="3" t="s">
        <v>478</v>
      </c>
    </row>
    <row r="20" spans="1:2" x14ac:dyDescent="0.25">
      <c r="A20" s="3" t="s">
        <v>479</v>
      </c>
    </row>
    <row r="21" spans="1:2" x14ac:dyDescent="0.25">
      <c r="A21" s="3" t="s">
        <v>480</v>
      </c>
    </row>
    <row r="22" spans="1:2" x14ac:dyDescent="0.25">
      <c r="A22" s="3" t="s">
        <v>481</v>
      </c>
    </row>
    <row r="23" spans="1:2" x14ac:dyDescent="0.25">
      <c r="A23" s="3" t="s">
        <v>482</v>
      </c>
    </row>
    <row r="24" spans="1:2" x14ac:dyDescent="0.25">
      <c r="A24" s="3" t="s">
        <v>483</v>
      </c>
    </row>
    <row r="25" spans="1:2" x14ac:dyDescent="0.25">
      <c r="A25" s="3" t="s">
        <v>484</v>
      </c>
    </row>
    <row r="26" spans="1:2" x14ac:dyDescent="0.25">
      <c r="A26" s="3" t="s">
        <v>485</v>
      </c>
    </row>
    <row r="27" spans="1:2" x14ac:dyDescent="0.25">
      <c r="A27" s="3" t="s">
        <v>486</v>
      </c>
    </row>
    <row r="28" spans="1:2" x14ac:dyDescent="0.25">
      <c r="A28" s="3" t="s">
        <v>487</v>
      </c>
    </row>
    <row r="29" spans="1:2" x14ac:dyDescent="0.25">
      <c r="A29" s="3" t="s">
        <v>488</v>
      </c>
    </row>
    <row r="30" spans="1:2" x14ac:dyDescent="0.25">
      <c r="A30" s="3" t="s">
        <v>502</v>
      </c>
      <c r="B30" s="6"/>
    </row>
    <row r="31" spans="1:2" x14ac:dyDescent="0.25">
      <c r="A31" s="3" t="s">
        <v>489</v>
      </c>
    </row>
    <row r="32" spans="1:2" x14ac:dyDescent="0.25">
      <c r="A32" s="3" t="s">
        <v>490</v>
      </c>
    </row>
    <row r="33" spans="1:3" x14ac:dyDescent="0.25">
      <c r="A33" s="3" t="s">
        <v>491</v>
      </c>
    </row>
    <row r="34" spans="1:3" x14ac:dyDescent="0.25">
      <c r="A34" s="3" t="s">
        <v>492</v>
      </c>
    </row>
    <row r="35" spans="1:3" x14ac:dyDescent="0.25">
      <c r="A35" s="3" t="s">
        <v>493</v>
      </c>
    </row>
    <row r="36" spans="1:3" x14ac:dyDescent="0.25">
      <c r="A36" s="3" t="s">
        <v>494</v>
      </c>
    </row>
    <row r="37" spans="1:3" x14ac:dyDescent="0.25">
      <c r="A37" s="3" t="s">
        <v>495</v>
      </c>
      <c r="B37" s="6"/>
    </row>
    <row r="38" spans="1:3" x14ac:dyDescent="0.25">
      <c r="A38" s="3" t="s">
        <v>507</v>
      </c>
      <c r="B38" s="6"/>
    </row>
    <row r="39" spans="1:3" x14ac:dyDescent="0.25">
      <c r="A39" s="3" t="s">
        <v>497</v>
      </c>
    </row>
    <row r="40" spans="1:3" x14ac:dyDescent="0.25">
      <c r="A40" s="3"/>
      <c r="B40" s="6"/>
    </row>
    <row r="41" spans="1:3" x14ac:dyDescent="0.25">
      <c r="A41" s="3" t="s">
        <v>496</v>
      </c>
      <c r="B41" s="6" t="s">
        <v>34</v>
      </c>
    </row>
    <row r="42" spans="1:3" x14ac:dyDescent="0.25">
      <c r="A42" s="3" t="s">
        <v>498</v>
      </c>
      <c r="B42" s="6" t="s">
        <v>34</v>
      </c>
    </row>
    <row r="43" spans="1:3" x14ac:dyDescent="0.25">
      <c r="A43" s="3" t="s">
        <v>508</v>
      </c>
      <c r="B43" t="s">
        <v>459</v>
      </c>
    </row>
    <row r="45" spans="1:3" x14ac:dyDescent="0.25">
      <c r="A45" s="3" t="s">
        <v>499</v>
      </c>
      <c r="B45" t="s">
        <v>460</v>
      </c>
    </row>
    <row r="46" spans="1:3" x14ac:dyDescent="0.25">
      <c r="A46" s="3" t="s">
        <v>500</v>
      </c>
      <c r="B46" t="s">
        <v>460</v>
      </c>
    </row>
    <row r="47" spans="1:3" x14ac:dyDescent="0.25">
      <c r="A47" s="3" t="s">
        <v>501</v>
      </c>
      <c r="B47" t="s">
        <v>460</v>
      </c>
      <c r="C47" t="s">
        <v>515</v>
      </c>
    </row>
    <row r="48" spans="1:3" x14ac:dyDescent="0.25">
      <c r="A48" s="3" t="s">
        <v>504</v>
      </c>
      <c r="B48" s="6" t="s">
        <v>215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09CE-AF79-4E1F-A3DD-5A8A2624A4EC}">
  <sheetPr codeName="Sheet3"/>
  <dimension ref="A1:I1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:C1048576"/>
    </sheetView>
  </sheetViews>
  <sheetFormatPr defaultRowHeight="15" x14ac:dyDescent="0.25"/>
  <cols>
    <col min="1" max="1" width="52.42578125" style="2" customWidth="1"/>
    <col min="2" max="2" width="20" customWidth="1"/>
    <col min="9" max="9" width="11.5703125" customWidth="1"/>
  </cols>
  <sheetData>
    <row r="1" spans="1:9" s="21" customFormat="1" ht="21" x14ac:dyDescent="0.35">
      <c r="A1" s="20"/>
      <c r="B1" s="23" t="s">
        <v>221</v>
      </c>
    </row>
    <row r="2" spans="1:9" x14ac:dyDescent="0.25">
      <c r="A2" s="2" t="s">
        <v>10</v>
      </c>
      <c r="B2" t="s">
        <v>1</v>
      </c>
    </row>
    <row r="3" spans="1:9" x14ac:dyDescent="0.25">
      <c r="A3" s="2" t="s">
        <v>27</v>
      </c>
      <c r="B3" t="s">
        <v>1</v>
      </c>
    </row>
    <row r="4" spans="1:9" x14ac:dyDescent="0.25">
      <c r="A4" s="2" t="s">
        <v>75</v>
      </c>
      <c r="B4" s="6" t="s">
        <v>34</v>
      </c>
      <c r="C4" s="8" t="s">
        <v>76</v>
      </c>
      <c r="I4" s="9"/>
    </row>
    <row r="5" spans="1:9" x14ac:dyDescent="0.25">
      <c r="A5" s="2" t="s">
        <v>44</v>
      </c>
      <c r="B5" t="s">
        <v>1</v>
      </c>
    </row>
    <row r="6" spans="1:9" x14ac:dyDescent="0.25">
      <c r="A6" s="2" t="s">
        <v>42</v>
      </c>
      <c r="B6" t="s">
        <v>1</v>
      </c>
    </row>
    <row r="7" spans="1:9" x14ac:dyDescent="0.25">
      <c r="A7" s="2" t="s">
        <v>178</v>
      </c>
      <c r="B7" t="s">
        <v>1</v>
      </c>
    </row>
    <row r="8" spans="1:9" s="21" customFormat="1" ht="21" x14ac:dyDescent="0.35">
      <c r="A8" s="36" t="s">
        <v>119</v>
      </c>
      <c r="B8" s="36"/>
      <c r="I8" s="24"/>
    </row>
    <row r="9" spans="1:9" x14ac:dyDescent="0.25">
      <c r="A9" s="2" t="s">
        <v>38</v>
      </c>
      <c r="I9" s="9"/>
    </row>
    <row r="10" spans="1:9" x14ac:dyDescent="0.25">
      <c r="A10" s="4" t="s">
        <v>39</v>
      </c>
      <c r="B10" t="s">
        <v>1</v>
      </c>
      <c r="I10" s="32"/>
    </row>
    <row r="11" spans="1:9" x14ac:dyDescent="0.25">
      <c r="A11" s="4" t="s">
        <v>40</v>
      </c>
      <c r="B11" t="s">
        <v>1</v>
      </c>
    </row>
    <row r="12" spans="1:9" x14ac:dyDescent="0.25">
      <c r="A12" s="4" t="s">
        <v>120</v>
      </c>
      <c r="B12" t="s">
        <v>1</v>
      </c>
    </row>
    <row r="13" spans="1:9" x14ac:dyDescent="0.25">
      <c r="A13" s="4" t="s">
        <v>121</v>
      </c>
      <c r="B13" s="7" t="s">
        <v>2</v>
      </c>
    </row>
    <row r="14" spans="1:9" x14ac:dyDescent="0.25">
      <c r="A14" s="2" t="s">
        <v>292</v>
      </c>
      <c r="B14" t="s">
        <v>1</v>
      </c>
    </row>
    <row r="15" spans="1:9" x14ac:dyDescent="0.25">
      <c r="A15" s="5" t="s">
        <v>41</v>
      </c>
      <c r="B15" t="s">
        <v>1</v>
      </c>
      <c r="C15" s="8" t="s">
        <v>76</v>
      </c>
    </row>
    <row r="16" spans="1:9" x14ac:dyDescent="0.25">
      <c r="A16" s="5" t="s">
        <v>49</v>
      </c>
      <c r="B16" t="s">
        <v>1</v>
      </c>
    </row>
    <row r="17" spans="1:3" x14ac:dyDescent="0.25">
      <c r="A17" s="5" t="s">
        <v>50</v>
      </c>
      <c r="B17" t="s">
        <v>1</v>
      </c>
    </row>
    <row r="18" spans="1:3" x14ac:dyDescent="0.25">
      <c r="A18" s="5" t="s">
        <v>48</v>
      </c>
      <c r="B18" t="s">
        <v>1</v>
      </c>
    </row>
    <row r="19" spans="1:3" x14ac:dyDescent="0.25">
      <c r="A19" s="5" t="s">
        <v>185</v>
      </c>
      <c r="B19" s="7" t="s">
        <v>2</v>
      </c>
      <c r="C19" s="8" t="s">
        <v>350</v>
      </c>
    </row>
    <row r="20" spans="1:3" x14ac:dyDescent="0.25">
      <c r="A20" s="5" t="s">
        <v>186</v>
      </c>
      <c r="B20" s="7" t="s">
        <v>2</v>
      </c>
      <c r="C20" s="8" t="s">
        <v>350</v>
      </c>
    </row>
    <row r="21" spans="1:3" x14ac:dyDescent="0.25">
      <c r="A21" s="5" t="s">
        <v>72</v>
      </c>
      <c r="B21" t="s">
        <v>1</v>
      </c>
    </row>
    <row r="22" spans="1:3" x14ac:dyDescent="0.25">
      <c r="A22" s="5" t="s">
        <v>175</v>
      </c>
      <c r="B22" t="s">
        <v>1</v>
      </c>
    </row>
    <row r="23" spans="1:3" x14ac:dyDescent="0.25">
      <c r="A23" s="5" t="s">
        <v>176</v>
      </c>
      <c r="B23" t="s">
        <v>1</v>
      </c>
    </row>
    <row r="24" spans="1:3" x14ac:dyDescent="0.25">
      <c r="A24" s="5" t="s">
        <v>177</v>
      </c>
      <c r="B24" t="s">
        <v>1</v>
      </c>
    </row>
    <row r="25" spans="1:3" x14ac:dyDescent="0.25">
      <c r="A25" s="5" t="s">
        <v>51</v>
      </c>
      <c r="B25" t="s">
        <v>1</v>
      </c>
    </row>
    <row r="26" spans="1:3" s="21" customFormat="1" ht="21" x14ac:dyDescent="0.35">
      <c r="A26" s="36" t="s">
        <v>65</v>
      </c>
      <c r="B26" s="36"/>
    </row>
    <row r="27" spans="1:3" x14ac:dyDescent="0.25">
      <c r="A27" s="5" t="s">
        <v>17</v>
      </c>
      <c r="B27" t="s">
        <v>1</v>
      </c>
    </row>
    <row r="28" spans="1:3" x14ac:dyDescent="0.25">
      <c r="A28" s="5" t="s">
        <v>18</v>
      </c>
      <c r="B28" t="s">
        <v>1</v>
      </c>
    </row>
    <row r="29" spans="1:3" x14ac:dyDescent="0.25">
      <c r="A29" s="5" t="s">
        <v>19</v>
      </c>
      <c r="B29" t="s">
        <v>1</v>
      </c>
    </row>
    <row r="30" spans="1:3" x14ac:dyDescent="0.25">
      <c r="A30" s="5" t="s">
        <v>20</v>
      </c>
      <c r="B30" t="s">
        <v>1</v>
      </c>
    </row>
    <row r="31" spans="1:3" x14ac:dyDescent="0.25">
      <c r="A31" s="5" t="s">
        <v>68</v>
      </c>
      <c r="B31" t="s">
        <v>1</v>
      </c>
    </row>
    <row r="32" spans="1:3" x14ac:dyDescent="0.25">
      <c r="A32" s="5" t="s">
        <v>67</v>
      </c>
      <c r="B32" t="s">
        <v>1</v>
      </c>
    </row>
    <row r="33" spans="1:2" x14ac:dyDescent="0.25">
      <c r="A33" s="5" t="s">
        <v>21</v>
      </c>
      <c r="B33" t="s">
        <v>1</v>
      </c>
    </row>
    <row r="34" spans="1:2" x14ac:dyDescent="0.25">
      <c r="A34" s="5" t="s">
        <v>74</v>
      </c>
    </row>
    <row r="35" spans="1:2" x14ac:dyDescent="0.25">
      <c r="A35" s="5" t="s">
        <v>3</v>
      </c>
      <c r="B35" t="s">
        <v>1</v>
      </c>
    </row>
    <row r="36" spans="1:2" x14ac:dyDescent="0.25">
      <c r="A36" s="5" t="s">
        <v>15</v>
      </c>
      <c r="B36" t="s">
        <v>1</v>
      </c>
    </row>
    <row r="37" spans="1:2" x14ac:dyDescent="0.25">
      <c r="A37" s="5" t="s">
        <v>106</v>
      </c>
      <c r="B37" t="s">
        <v>1</v>
      </c>
    </row>
    <row r="38" spans="1:2" s="21" customFormat="1" ht="21" x14ac:dyDescent="0.35">
      <c r="A38" s="36" t="s">
        <v>66</v>
      </c>
      <c r="B38" s="36"/>
    </row>
    <row r="39" spans="1:2" x14ac:dyDescent="0.25">
      <c r="A39" s="5" t="s">
        <v>69</v>
      </c>
      <c r="B39" t="s">
        <v>1</v>
      </c>
    </row>
    <row r="40" spans="1:2" x14ac:dyDescent="0.25">
      <c r="A40" s="5" t="s">
        <v>70</v>
      </c>
      <c r="B40" t="s">
        <v>1</v>
      </c>
    </row>
    <row r="41" spans="1:2" x14ac:dyDescent="0.25">
      <c r="A41" s="5" t="s">
        <v>71</v>
      </c>
      <c r="B41" t="s">
        <v>1</v>
      </c>
    </row>
    <row r="42" spans="1:2" x14ac:dyDescent="0.25">
      <c r="A42" s="5" t="s">
        <v>21</v>
      </c>
      <c r="B42" t="s">
        <v>1</v>
      </c>
    </row>
    <row r="43" spans="1:2" x14ac:dyDescent="0.25">
      <c r="A43" s="5" t="s">
        <v>67</v>
      </c>
      <c r="B43" t="s">
        <v>1</v>
      </c>
    </row>
    <row r="44" spans="1:2" x14ac:dyDescent="0.25">
      <c r="A44" s="5" t="s">
        <v>64</v>
      </c>
      <c r="B44" s="7" t="s">
        <v>2</v>
      </c>
    </row>
    <row r="46" spans="1:2" x14ac:dyDescent="0.25">
      <c r="A46" s="5" t="s">
        <v>3</v>
      </c>
    </row>
    <row r="47" spans="1:2" x14ac:dyDescent="0.25">
      <c r="A47" s="4" t="s">
        <v>45</v>
      </c>
      <c r="B47" t="s">
        <v>1</v>
      </c>
    </row>
    <row r="48" spans="1:2" x14ac:dyDescent="0.25">
      <c r="A48" s="4" t="s">
        <v>47</v>
      </c>
      <c r="B48" t="s">
        <v>1</v>
      </c>
    </row>
    <row r="49" spans="1:3" x14ac:dyDescent="0.25">
      <c r="A49" s="4" t="s">
        <v>46</v>
      </c>
      <c r="B49" t="s">
        <v>1</v>
      </c>
    </row>
    <row r="50" spans="1:3" s="21" customFormat="1" ht="21" x14ac:dyDescent="0.35">
      <c r="A50" s="36" t="s">
        <v>438</v>
      </c>
      <c r="B50" s="36"/>
    </row>
    <row r="51" spans="1:3" x14ac:dyDescent="0.25">
      <c r="A51" s="5" t="s">
        <v>52</v>
      </c>
      <c r="B51" t="s">
        <v>1</v>
      </c>
      <c r="C51" t="s">
        <v>73</v>
      </c>
    </row>
    <row r="52" spans="1:3" x14ac:dyDescent="0.25">
      <c r="A52" s="4" t="s">
        <v>17</v>
      </c>
      <c r="B52" t="s">
        <v>1</v>
      </c>
    </row>
    <row r="53" spans="1:3" x14ac:dyDescent="0.25">
      <c r="A53" s="4" t="s">
        <v>89</v>
      </c>
      <c r="B53" t="s">
        <v>1</v>
      </c>
    </row>
    <row r="54" spans="1:3" x14ac:dyDescent="0.25">
      <c r="A54" s="4" t="s">
        <v>90</v>
      </c>
      <c r="B54" t="s">
        <v>1</v>
      </c>
    </row>
    <row r="55" spans="1:3" x14ac:dyDescent="0.25">
      <c r="A55" s="4" t="s">
        <v>91</v>
      </c>
      <c r="B55" t="s">
        <v>1</v>
      </c>
    </row>
    <row r="56" spans="1:3" x14ac:dyDescent="0.25">
      <c r="A56" s="4" t="s">
        <v>92</v>
      </c>
      <c r="B56" t="s">
        <v>1</v>
      </c>
    </row>
    <row r="57" spans="1:3" x14ac:dyDescent="0.25">
      <c r="A57" s="4" t="s">
        <v>93</v>
      </c>
      <c r="B57" t="s">
        <v>1</v>
      </c>
    </row>
    <row r="58" spans="1:3" x14ac:dyDescent="0.25">
      <c r="A58" s="4" t="s">
        <v>94</v>
      </c>
      <c r="B58" t="s">
        <v>1</v>
      </c>
    </row>
    <row r="59" spans="1:3" x14ac:dyDescent="0.25">
      <c r="A59" s="4" t="s">
        <v>95</v>
      </c>
      <c r="B59" t="s">
        <v>1</v>
      </c>
    </row>
    <row r="60" spans="1:3" x14ac:dyDescent="0.25">
      <c r="A60" s="4" t="s">
        <v>96</v>
      </c>
      <c r="B60" t="s">
        <v>1</v>
      </c>
    </row>
    <row r="61" spans="1:3" x14ac:dyDescent="0.25">
      <c r="A61" s="4" t="s">
        <v>97</v>
      </c>
      <c r="B61" t="s">
        <v>1</v>
      </c>
    </row>
    <row r="62" spans="1:3" x14ac:dyDescent="0.25">
      <c r="A62" s="4" t="s">
        <v>98</v>
      </c>
      <c r="B62" t="s">
        <v>1</v>
      </c>
    </row>
    <row r="63" spans="1:3" x14ac:dyDescent="0.25">
      <c r="A63" s="4" t="s">
        <v>99</v>
      </c>
      <c r="B63" t="s">
        <v>1</v>
      </c>
    </row>
    <row r="64" spans="1:3" x14ac:dyDescent="0.25">
      <c r="A64" s="4" t="s">
        <v>100</v>
      </c>
      <c r="B64" t="s">
        <v>1</v>
      </c>
    </row>
    <row r="65" spans="1:9" x14ac:dyDescent="0.25">
      <c r="A65" s="5" t="s">
        <v>53</v>
      </c>
      <c r="B65" t="s">
        <v>1</v>
      </c>
    </row>
    <row r="66" spans="1:9" x14ac:dyDescent="0.25">
      <c r="A66" s="5" t="s">
        <v>54</v>
      </c>
      <c r="B66" t="s">
        <v>1</v>
      </c>
    </row>
    <row r="67" spans="1:9" x14ac:dyDescent="0.25">
      <c r="A67" s="5" t="s">
        <v>254</v>
      </c>
      <c r="B67" t="s">
        <v>1</v>
      </c>
      <c r="C67" s="12" t="s">
        <v>255</v>
      </c>
    </row>
    <row r="68" spans="1:9" x14ac:dyDescent="0.25">
      <c r="A68" s="4" t="s">
        <v>256</v>
      </c>
      <c r="B68" t="s">
        <v>1</v>
      </c>
      <c r="C68" s="12"/>
    </row>
    <row r="69" spans="1:9" x14ac:dyDescent="0.25">
      <c r="A69" s="4" t="s">
        <v>258</v>
      </c>
      <c r="B69" t="s">
        <v>1</v>
      </c>
      <c r="C69" s="12"/>
    </row>
    <row r="70" spans="1:9" x14ac:dyDescent="0.25">
      <c r="A70" s="4" t="s">
        <v>257</v>
      </c>
      <c r="B70" t="s">
        <v>1</v>
      </c>
      <c r="C70" s="12"/>
    </row>
    <row r="71" spans="1:9" x14ac:dyDescent="0.25">
      <c r="A71" s="5" t="s">
        <v>340</v>
      </c>
      <c r="B71" t="s">
        <v>1</v>
      </c>
    </row>
    <row r="72" spans="1:9" x14ac:dyDescent="0.25">
      <c r="A72" s="4" t="s">
        <v>341</v>
      </c>
      <c r="B72" t="s">
        <v>1</v>
      </c>
    </row>
    <row r="73" spans="1:9" x14ac:dyDescent="0.25">
      <c r="A73" s="4" t="s">
        <v>342</v>
      </c>
      <c r="B73" t="s">
        <v>1</v>
      </c>
    </row>
    <row r="74" spans="1:9" x14ac:dyDescent="0.25">
      <c r="A74" s="4" t="s">
        <v>343</v>
      </c>
      <c r="B74" t="s">
        <v>1</v>
      </c>
    </row>
    <row r="75" spans="1:9" x14ac:dyDescent="0.25">
      <c r="A75" s="5" t="s">
        <v>61</v>
      </c>
      <c r="B75" t="s">
        <v>1</v>
      </c>
    </row>
    <row r="76" spans="1:9" x14ac:dyDescent="0.25">
      <c r="A76" s="5" t="s">
        <v>158</v>
      </c>
      <c r="B76" t="s">
        <v>1</v>
      </c>
      <c r="I76" s="13"/>
    </row>
    <row r="77" spans="1:9" x14ac:dyDescent="0.25">
      <c r="A77" s="5" t="s">
        <v>163</v>
      </c>
      <c r="B77" t="s">
        <v>1</v>
      </c>
      <c r="I77" s="13"/>
    </row>
    <row r="78" spans="1:9" s="21" customFormat="1" ht="21" x14ac:dyDescent="0.35">
      <c r="A78" s="36" t="s">
        <v>155</v>
      </c>
      <c r="B78" s="36"/>
    </row>
    <row r="79" spans="1:9" x14ac:dyDescent="0.25">
      <c r="A79" s="5" t="s">
        <v>172</v>
      </c>
      <c r="B79" t="s">
        <v>1</v>
      </c>
    </row>
    <row r="80" spans="1:9" x14ac:dyDescent="0.25">
      <c r="A80" s="5" t="s">
        <v>173</v>
      </c>
      <c r="B80" t="s">
        <v>1</v>
      </c>
    </row>
    <row r="81" spans="1:3" x14ac:dyDescent="0.25">
      <c r="A81" s="5" t="s">
        <v>156</v>
      </c>
      <c r="B81" t="s">
        <v>1</v>
      </c>
    </row>
    <row r="82" spans="1:3" x14ac:dyDescent="0.25">
      <c r="A82" s="5" t="s">
        <v>97</v>
      </c>
      <c r="B82" t="s">
        <v>1</v>
      </c>
    </row>
    <row r="83" spans="1:3" x14ac:dyDescent="0.25">
      <c r="A83" s="5" t="s">
        <v>157</v>
      </c>
      <c r="B83" t="s">
        <v>1</v>
      </c>
    </row>
    <row r="84" spans="1:3" x14ac:dyDescent="0.25">
      <c r="A84" s="5" t="s">
        <v>89</v>
      </c>
      <c r="B84" t="s">
        <v>1</v>
      </c>
    </row>
    <row r="85" spans="1:3" x14ac:dyDescent="0.25">
      <c r="A85" s="5" t="s">
        <v>174</v>
      </c>
      <c r="B85" t="s">
        <v>1</v>
      </c>
    </row>
    <row r="86" spans="1:3" x14ac:dyDescent="0.25">
      <c r="A86" s="5" t="s">
        <v>167</v>
      </c>
      <c r="B86" s="7" t="s">
        <v>2</v>
      </c>
      <c r="C86" s="8"/>
    </row>
    <row r="87" spans="1:3" s="21" customFormat="1" ht="21" x14ac:dyDescent="0.35">
      <c r="A87" s="36" t="s">
        <v>339</v>
      </c>
      <c r="B87" s="36"/>
      <c r="C87" s="25"/>
    </row>
    <row r="88" spans="1:3" x14ac:dyDescent="0.25">
      <c r="A88" s="5" t="s">
        <v>91</v>
      </c>
      <c r="B88" t="s">
        <v>1</v>
      </c>
      <c r="C88" s="8"/>
    </row>
    <row r="89" spans="1:3" x14ac:dyDescent="0.25">
      <c r="A89" s="5" t="s">
        <v>92</v>
      </c>
      <c r="B89" t="s">
        <v>1</v>
      </c>
      <c r="C89" s="8"/>
    </row>
    <row r="90" spans="1:3" x14ac:dyDescent="0.25">
      <c r="A90" s="5" t="s">
        <v>248</v>
      </c>
      <c r="B90" t="s">
        <v>1</v>
      </c>
      <c r="C90" s="8"/>
    </row>
    <row r="91" spans="1:3" x14ac:dyDescent="0.25">
      <c r="A91" s="5" t="s">
        <v>249</v>
      </c>
      <c r="B91" t="s">
        <v>1</v>
      </c>
      <c r="C91" s="8"/>
    </row>
    <row r="92" spans="1:3" x14ac:dyDescent="0.25">
      <c r="A92" s="5" t="s">
        <v>250</v>
      </c>
      <c r="B92" t="s">
        <v>1</v>
      </c>
      <c r="C92" s="8"/>
    </row>
    <row r="93" spans="1:3" x14ac:dyDescent="0.25">
      <c r="A93" s="5" t="s">
        <v>251</v>
      </c>
      <c r="B93" t="s">
        <v>1</v>
      </c>
      <c r="C93" s="8"/>
    </row>
    <row r="94" spans="1:3" x14ac:dyDescent="0.25">
      <c r="A94" s="5" t="s">
        <v>252</v>
      </c>
      <c r="B94" t="s">
        <v>1</v>
      </c>
      <c r="C94" s="8"/>
    </row>
    <row r="95" spans="1:3" x14ac:dyDescent="0.25">
      <c r="A95" s="5" t="s">
        <v>253</v>
      </c>
      <c r="B95" t="s">
        <v>1</v>
      </c>
    </row>
    <row r="96" spans="1:3" x14ac:dyDescent="0.25">
      <c r="A96" s="5">
        <v>1904</v>
      </c>
      <c r="B96" t="s">
        <v>1</v>
      </c>
    </row>
    <row r="97" spans="1:2" x14ac:dyDescent="0.25">
      <c r="A97" s="5" t="s">
        <v>260</v>
      </c>
      <c r="B97" t="s">
        <v>1</v>
      </c>
    </row>
    <row r="98" spans="1:2" x14ac:dyDescent="0.25">
      <c r="A98" s="5" t="s">
        <v>259</v>
      </c>
      <c r="B98" t="s">
        <v>1</v>
      </c>
    </row>
    <row r="99" spans="1:2" s="21" customFormat="1" ht="21" x14ac:dyDescent="0.35">
      <c r="A99" s="36" t="s">
        <v>159</v>
      </c>
      <c r="B99" s="36"/>
    </row>
    <row r="100" spans="1:2" x14ac:dyDescent="0.25">
      <c r="A100" s="2" t="s">
        <v>160</v>
      </c>
      <c r="B100" t="s">
        <v>1</v>
      </c>
    </row>
    <row r="101" spans="1:2" x14ac:dyDescent="0.25">
      <c r="A101" s="2" t="s">
        <v>161</v>
      </c>
      <c r="B101" t="s">
        <v>1</v>
      </c>
    </row>
    <row r="102" spans="1:2" x14ac:dyDescent="0.25">
      <c r="A102" s="2" t="s">
        <v>206</v>
      </c>
      <c r="B102" t="s">
        <v>1</v>
      </c>
    </row>
    <row r="103" spans="1:2" x14ac:dyDescent="0.25">
      <c r="A103" s="2" t="s">
        <v>162</v>
      </c>
      <c r="B103" t="s">
        <v>1</v>
      </c>
    </row>
    <row r="104" spans="1:2" x14ac:dyDescent="0.25">
      <c r="A104" s="2" t="s">
        <v>164</v>
      </c>
      <c r="B104" s="6" t="s">
        <v>34</v>
      </c>
    </row>
    <row r="105" spans="1:2" x14ac:dyDescent="0.25">
      <c r="A105" s="2" t="s">
        <v>205</v>
      </c>
      <c r="B105" t="s">
        <v>1</v>
      </c>
    </row>
    <row r="106" spans="1:2" x14ac:dyDescent="0.25">
      <c r="A106" s="2" t="s">
        <v>207</v>
      </c>
      <c r="B106" s="7" t="s">
        <v>2</v>
      </c>
    </row>
    <row r="107" spans="1:2" s="21" customFormat="1" ht="21" x14ac:dyDescent="0.35">
      <c r="A107" s="36" t="s">
        <v>218</v>
      </c>
      <c r="B107" s="36"/>
    </row>
    <row r="108" spans="1:2" x14ac:dyDescent="0.25">
      <c r="A108" s="2" t="s">
        <v>192</v>
      </c>
      <c r="B108" t="s">
        <v>1</v>
      </c>
    </row>
    <row r="109" spans="1:2" x14ac:dyDescent="0.25">
      <c r="A109" s="2" t="s">
        <v>193</v>
      </c>
      <c r="B109" t="s">
        <v>1</v>
      </c>
    </row>
    <row r="110" spans="1:2" x14ac:dyDescent="0.25">
      <c r="A110" s="2" t="s">
        <v>191</v>
      </c>
      <c r="B110" t="s">
        <v>1</v>
      </c>
    </row>
    <row r="111" spans="1:2" x14ac:dyDescent="0.25">
      <c r="A111" s="2" t="s">
        <v>194</v>
      </c>
      <c r="B111" t="s">
        <v>1</v>
      </c>
    </row>
    <row r="112" spans="1:2" x14ac:dyDescent="0.25">
      <c r="A112" s="2" t="s">
        <v>195</v>
      </c>
      <c r="B112" s="7" t="s">
        <v>2</v>
      </c>
    </row>
    <row r="113" spans="1:2" s="21" customFormat="1" ht="21" x14ac:dyDescent="0.35">
      <c r="A113" s="36" t="s">
        <v>8</v>
      </c>
      <c r="B113" s="36"/>
    </row>
    <row r="114" spans="1:2" x14ac:dyDescent="0.25">
      <c r="A114" s="2" t="s">
        <v>196</v>
      </c>
      <c r="B114" t="s">
        <v>1</v>
      </c>
    </row>
    <row r="115" spans="1:2" x14ac:dyDescent="0.25">
      <c r="A115" s="2" t="s">
        <v>198</v>
      </c>
      <c r="B115" t="s">
        <v>1</v>
      </c>
    </row>
    <row r="116" spans="1:2" x14ac:dyDescent="0.25">
      <c r="A116" s="2" t="s">
        <v>204</v>
      </c>
      <c r="B116" t="s">
        <v>1</v>
      </c>
    </row>
    <row r="117" spans="1:2" x14ac:dyDescent="0.25">
      <c r="A117" s="2" t="s">
        <v>197</v>
      </c>
      <c r="B117" t="s">
        <v>1</v>
      </c>
    </row>
    <row r="118" spans="1:2" x14ac:dyDescent="0.25">
      <c r="A118" s="2" t="s">
        <v>199</v>
      </c>
      <c r="B118" t="s">
        <v>1</v>
      </c>
    </row>
    <row r="119" spans="1:2" x14ac:dyDescent="0.25">
      <c r="A119" s="2" t="s">
        <v>200</v>
      </c>
      <c r="B119" t="s">
        <v>1</v>
      </c>
    </row>
    <row r="120" spans="1:2" x14ac:dyDescent="0.25">
      <c r="A120" s="2" t="s">
        <v>264</v>
      </c>
      <c r="B120" t="s">
        <v>1</v>
      </c>
    </row>
    <row r="121" spans="1:2" x14ac:dyDescent="0.25">
      <c r="A121" s="2" t="s">
        <v>201</v>
      </c>
      <c r="B121" t="s">
        <v>1</v>
      </c>
    </row>
    <row r="122" spans="1:2" x14ac:dyDescent="0.25">
      <c r="A122" s="2" t="s">
        <v>202</v>
      </c>
      <c r="B122" t="s">
        <v>1</v>
      </c>
    </row>
    <row r="123" spans="1:2" x14ac:dyDescent="0.25">
      <c r="A123" s="2" t="s">
        <v>203</v>
      </c>
      <c r="B123" t="s">
        <v>1</v>
      </c>
    </row>
    <row r="124" spans="1:2" s="21" customFormat="1" ht="21" x14ac:dyDescent="0.35">
      <c r="A124" s="36" t="s">
        <v>208</v>
      </c>
      <c r="B124" s="36"/>
    </row>
    <row r="125" spans="1:2" x14ac:dyDescent="0.25">
      <c r="A125" s="2" t="s">
        <v>209</v>
      </c>
      <c r="B125" t="s">
        <v>1</v>
      </c>
    </row>
  </sheetData>
  <mergeCells count="10">
    <mergeCell ref="A107:B107"/>
    <mergeCell ref="A113:B113"/>
    <mergeCell ref="A124:B124"/>
    <mergeCell ref="A99:B99"/>
    <mergeCell ref="A8:B8"/>
    <mergeCell ref="A26:B26"/>
    <mergeCell ref="A38:B38"/>
    <mergeCell ref="A50:B50"/>
    <mergeCell ref="A78:B78"/>
    <mergeCell ref="A87:B87"/>
  </mergeCells>
  <hyperlinks>
    <hyperlink ref="C67" r:id="rId1" xr:uid="{406D1E4D-2481-4048-9869-12A69F4EACC9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649E-7E2D-4966-87E1-3BAF9B94FFB7}">
  <sheetPr codeName="Sheet4"/>
  <dimension ref="A1:E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4" sqref="A24"/>
    </sheetView>
  </sheetViews>
  <sheetFormatPr defaultRowHeight="15" x14ac:dyDescent="0.25"/>
  <cols>
    <col min="1" max="1" width="53.42578125" customWidth="1"/>
    <col min="2" max="2" width="20.140625" customWidth="1"/>
    <col min="5" max="5" width="14.42578125" customWidth="1"/>
  </cols>
  <sheetData>
    <row r="1" spans="1:5" s="21" customFormat="1" ht="21" x14ac:dyDescent="0.35">
      <c r="A1" s="20"/>
      <c r="B1" s="23" t="s">
        <v>221</v>
      </c>
    </row>
    <row r="2" spans="1:5" ht="15.75" x14ac:dyDescent="0.25">
      <c r="A2" s="37" t="s">
        <v>102</v>
      </c>
      <c r="B2" s="37"/>
    </row>
    <row r="3" spans="1:5" x14ac:dyDescent="0.25">
      <c r="A3" s="29" t="s">
        <v>85</v>
      </c>
      <c r="B3" t="s">
        <v>1</v>
      </c>
    </row>
    <row r="4" spans="1:5" x14ac:dyDescent="0.25">
      <c r="A4" s="29" t="s">
        <v>273</v>
      </c>
      <c r="B4" t="s">
        <v>1</v>
      </c>
    </row>
    <row r="5" spans="1:5" x14ac:dyDescent="0.25">
      <c r="A5" s="29" t="s">
        <v>274</v>
      </c>
      <c r="B5" t="s">
        <v>1</v>
      </c>
    </row>
    <row r="6" spans="1:5" x14ac:dyDescent="0.25">
      <c r="A6" s="29" t="s">
        <v>281</v>
      </c>
      <c r="B6" s="6"/>
    </row>
    <row r="7" spans="1:5" ht="15.75" x14ac:dyDescent="0.25">
      <c r="A7" s="37" t="s">
        <v>296</v>
      </c>
      <c r="B7" s="37"/>
    </row>
    <row r="8" spans="1:5" x14ac:dyDescent="0.25">
      <c r="A8" s="29" t="s">
        <v>230</v>
      </c>
    </row>
    <row r="9" spans="1:5" x14ac:dyDescent="0.25">
      <c r="A9" s="3" t="s">
        <v>336</v>
      </c>
      <c r="B9" t="s">
        <v>1</v>
      </c>
      <c r="E9" s="15"/>
    </row>
    <row r="10" spans="1:5" x14ac:dyDescent="0.25">
      <c r="A10" s="3" t="s">
        <v>337</v>
      </c>
      <c r="B10" t="s">
        <v>1</v>
      </c>
      <c r="E10" s="15"/>
    </row>
    <row r="11" spans="1:5" x14ac:dyDescent="0.25">
      <c r="A11" s="3" t="s">
        <v>315</v>
      </c>
      <c r="B11" t="s">
        <v>1</v>
      </c>
      <c r="E11" s="18"/>
    </row>
    <row r="12" spans="1:5" x14ac:dyDescent="0.25">
      <c r="A12" s="3" t="s">
        <v>278</v>
      </c>
      <c r="B12" t="s">
        <v>1</v>
      </c>
      <c r="E12" s="19"/>
    </row>
    <row r="13" spans="1:5" x14ac:dyDescent="0.25">
      <c r="A13" s="3" t="s">
        <v>319</v>
      </c>
      <c r="B13" t="s">
        <v>1</v>
      </c>
    </row>
    <row r="14" spans="1:5" x14ac:dyDescent="0.25">
      <c r="A14" s="3" t="s">
        <v>318</v>
      </c>
      <c r="B14" t="s">
        <v>1</v>
      </c>
    </row>
    <row r="15" spans="1:5" x14ac:dyDescent="0.25">
      <c r="A15" s="3" t="s">
        <v>320</v>
      </c>
      <c r="B15" t="s">
        <v>1</v>
      </c>
    </row>
    <row r="16" spans="1:5" x14ac:dyDescent="0.25">
      <c r="A16" s="3" t="s">
        <v>338</v>
      </c>
      <c r="B16" t="s">
        <v>1</v>
      </c>
    </row>
    <row r="17" spans="1:2" x14ac:dyDescent="0.25">
      <c r="A17" s="3" t="s">
        <v>328</v>
      </c>
      <c r="B17" s="2" t="s">
        <v>1</v>
      </c>
    </row>
    <row r="18" spans="1:2" x14ac:dyDescent="0.25">
      <c r="A18" s="3" t="s">
        <v>316</v>
      </c>
      <c r="B18" t="s">
        <v>1</v>
      </c>
    </row>
    <row r="19" spans="1:2" x14ac:dyDescent="0.25">
      <c r="A19" s="3" t="s">
        <v>317</v>
      </c>
      <c r="B19" t="s">
        <v>1</v>
      </c>
    </row>
    <row r="20" spans="1:2" x14ac:dyDescent="0.25">
      <c r="A20" s="3" t="s">
        <v>329</v>
      </c>
      <c r="B20" t="s">
        <v>1</v>
      </c>
    </row>
    <row r="21" spans="1:2" x14ac:dyDescent="0.25">
      <c r="A21" s="3" t="s">
        <v>331</v>
      </c>
      <c r="B21" s="6" t="s">
        <v>2</v>
      </c>
    </row>
    <row r="22" spans="1:2" x14ac:dyDescent="0.25">
      <c r="A22" s="3" t="s">
        <v>330</v>
      </c>
      <c r="B22" s="6" t="s">
        <v>2</v>
      </c>
    </row>
    <row r="23" spans="1:2" x14ac:dyDescent="0.25">
      <c r="A23" s="3" t="s">
        <v>510</v>
      </c>
      <c r="B23" s="6" t="s">
        <v>2</v>
      </c>
    </row>
    <row r="24" spans="1:2" x14ac:dyDescent="0.25">
      <c r="A24" s="3" t="s">
        <v>333</v>
      </c>
      <c r="B24" s="6" t="s">
        <v>2</v>
      </c>
    </row>
    <row r="25" spans="1:2" x14ac:dyDescent="0.25">
      <c r="A25" s="3" t="s">
        <v>332</v>
      </c>
      <c r="B25" t="s">
        <v>1</v>
      </c>
    </row>
    <row r="26" spans="1:2" x14ac:dyDescent="0.25">
      <c r="A26" s="29" t="s">
        <v>453</v>
      </c>
      <c r="B26" t="s">
        <v>1</v>
      </c>
    </row>
    <row r="27" spans="1:2" x14ac:dyDescent="0.25">
      <c r="A27" s="29" t="s">
        <v>452</v>
      </c>
      <c r="B27" t="s">
        <v>1</v>
      </c>
    </row>
    <row r="28" spans="1:2" x14ac:dyDescent="0.25">
      <c r="A28" s="29" t="s">
        <v>279</v>
      </c>
      <c r="B28" s="6" t="s">
        <v>345</v>
      </c>
    </row>
    <row r="29" spans="1:2" x14ac:dyDescent="0.25">
      <c r="A29" s="29" t="s">
        <v>297</v>
      </c>
      <c r="B29" t="s">
        <v>1</v>
      </c>
    </row>
    <row r="30" spans="1:2" ht="15.75" x14ac:dyDescent="0.25">
      <c r="A30" s="37" t="s">
        <v>238</v>
      </c>
      <c r="B30" s="37"/>
    </row>
    <row r="31" spans="1:2" x14ac:dyDescent="0.25">
      <c r="A31" s="29" t="s">
        <v>298</v>
      </c>
      <c r="B31" t="s">
        <v>1</v>
      </c>
    </row>
    <row r="32" spans="1:2" x14ac:dyDescent="0.25">
      <c r="A32" s="29" t="s">
        <v>299</v>
      </c>
      <c r="B32" t="s">
        <v>1</v>
      </c>
    </row>
    <row r="33" spans="1:2" x14ac:dyDescent="0.25">
      <c r="A33" s="29" t="s">
        <v>300</v>
      </c>
      <c r="B33" t="s">
        <v>1</v>
      </c>
    </row>
    <row r="34" spans="1:2" x14ac:dyDescent="0.25">
      <c r="A34" s="29" t="s">
        <v>301</v>
      </c>
      <c r="B34" t="s">
        <v>1</v>
      </c>
    </row>
    <row r="35" spans="1:2" x14ac:dyDescent="0.25">
      <c r="A35" s="29" t="s">
        <v>302</v>
      </c>
      <c r="B35" t="s">
        <v>1</v>
      </c>
    </row>
    <row r="36" spans="1:2" x14ac:dyDescent="0.25">
      <c r="A36" s="29" t="s">
        <v>303</v>
      </c>
      <c r="B36" t="s">
        <v>1</v>
      </c>
    </row>
    <row r="37" spans="1:2" x14ac:dyDescent="0.25">
      <c r="A37" s="29" t="s">
        <v>304</v>
      </c>
      <c r="B37" t="s">
        <v>1</v>
      </c>
    </row>
    <row r="38" spans="1:2" x14ac:dyDescent="0.25">
      <c r="A38" s="29" t="s">
        <v>305</v>
      </c>
      <c r="B38" t="s">
        <v>1</v>
      </c>
    </row>
    <row r="39" spans="1:2" ht="15.75" x14ac:dyDescent="0.25">
      <c r="A39" s="37" t="s">
        <v>229</v>
      </c>
      <c r="B39" s="37"/>
    </row>
    <row r="40" spans="1:2" x14ac:dyDescent="0.25">
      <c r="A40" s="29" t="s">
        <v>306</v>
      </c>
      <c r="B40" t="s">
        <v>1</v>
      </c>
    </row>
    <row r="41" spans="1:2" x14ac:dyDescent="0.25">
      <c r="A41" s="29" t="s">
        <v>313</v>
      </c>
      <c r="B41" t="s">
        <v>1</v>
      </c>
    </row>
    <row r="42" spans="1:2" x14ac:dyDescent="0.25">
      <c r="A42" s="29" t="s">
        <v>307</v>
      </c>
      <c r="B42" t="s">
        <v>1</v>
      </c>
    </row>
    <row r="43" spans="1:2" x14ac:dyDescent="0.25">
      <c r="A43" s="29" t="s">
        <v>308</v>
      </c>
      <c r="B43" t="s">
        <v>1</v>
      </c>
    </row>
    <row r="44" spans="1:2" x14ac:dyDescent="0.25">
      <c r="A44" s="29" t="s">
        <v>309</v>
      </c>
      <c r="B44" t="s">
        <v>1</v>
      </c>
    </row>
    <row r="45" spans="1:2" x14ac:dyDescent="0.25">
      <c r="A45" s="29" t="s">
        <v>312</v>
      </c>
      <c r="B45" t="s">
        <v>1</v>
      </c>
    </row>
    <row r="46" spans="1:2" x14ac:dyDescent="0.25">
      <c r="A46" s="29" t="s">
        <v>321</v>
      </c>
      <c r="B46" t="s">
        <v>1</v>
      </c>
    </row>
    <row r="47" spans="1:2" x14ac:dyDescent="0.25">
      <c r="A47" s="29" t="s">
        <v>311</v>
      </c>
      <c r="B47" t="s">
        <v>1</v>
      </c>
    </row>
    <row r="48" spans="1:2" x14ac:dyDescent="0.25">
      <c r="A48" s="29" t="s">
        <v>310</v>
      </c>
      <c r="B48" t="s">
        <v>1</v>
      </c>
    </row>
  </sheetData>
  <mergeCells count="4">
    <mergeCell ref="A2:B2"/>
    <mergeCell ref="A7:B7"/>
    <mergeCell ref="A30:B30"/>
    <mergeCell ref="A39:B39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ABAD-0F0F-4D4C-9BD1-A4583ACF5D49}">
  <sheetPr codeName="Sheet5"/>
  <dimension ref="A1:B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4" sqref="A24:B24"/>
    </sheetView>
  </sheetViews>
  <sheetFormatPr defaultRowHeight="15" x14ac:dyDescent="0.25"/>
  <cols>
    <col min="1" max="1" width="34.7109375" customWidth="1"/>
    <col min="2" max="2" width="20" customWidth="1"/>
  </cols>
  <sheetData>
    <row r="1" spans="1:2" s="21" customFormat="1" ht="21" x14ac:dyDescent="0.35">
      <c r="A1" s="20"/>
      <c r="B1" s="23" t="s">
        <v>221</v>
      </c>
    </row>
    <row r="2" spans="1:2" s="21" customFormat="1" ht="21" x14ac:dyDescent="0.35">
      <c r="A2" s="36" t="s">
        <v>283</v>
      </c>
      <c r="B2" s="36"/>
    </row>
    <row r="3" spans="1:2" x14ac:dyDescent="0.25">
      <c r="A3" t="s">
        <v>122</v>
      </c>
      <c r="B3" t="s">
        <v>1</v>
      </c>
    </row>
    <row r="4" spans="1:2" x14ac:dyDescent="0.25">
      <c r="A4" t="s">
        <v>26</v>
      </c>
      <c r="B4" t="s">
        <v>1</v>
      </c>
    </row>
    <row r="5" spans="1:2" x14ac:dyDescent="0.25">
      <c r="A5" t="s">
        <v>56</v>
      </c>
      <c r="B5" t="s">
        <v>1</v>
      </c>
    </row>
    <row r="6" spans="1:2" x14ac:dyDescent="0.25">
      <c r="A6" t="s">
        <v>55</v>
      </c>
      <c r="B6" t="s">
        <v>1</v>
      </c>
    </row>
    <row r="7" spans="1:2" x14ac:dyDescent="0.25">
      <c r="A7" t="s">
        <v>9</v>
      </c>
      <c r="B7" t="s">
        <v>1</v>
      </c>
    </row>
    <row r="8" spans="1:2" x14ac:dyDescent="0.25">
      <c r="A8" t="s">
        <v>11</v>
      </c>
      <c r="B8" t="s">
        <v>1</v>
      </c>
    </row>
    <row r="9" spans="1:2" x14ac:dyDescent="0.25">
      <c r="A9" t="s">
        <v>24</v>
      </c>
      <c r="B9" t="s">
        <v>1</v>
      </c>
    </row>
    <row r="10" spans="1:2" x14ac:dyDescent="0.25">
      <c r="A10" t="s">
        <v>12</v>
      </c>
      <c r="B10" t="s">
        <v>1</v>
      </c>
    </row>
    <row r="11" spans="1:2" x14ac:dyDescent="0.25">
      <c r="A11" t="s">
        <v>25</v>
      </c>
      <c r="B11" t="s">
        <v>1</v>
      </c>
    </row>
    <row r="12" spans="1:2" x14ac:dyDescent="0.25">
      <c r="A12" t="s">
        <v>23</v>
      </c>
      <c r="B12" t="s">
        <v>1</v>
      </c>
    </row>
    <row r="13" spans="1:2" x14ac:dyDescent="0.25">
      <c r="A13" t="s">
        <v>22</v>
      </c>
      <c r="B13" t="s">
        <v>1</v>
      </c>
    </row>
    <row r="14" spans="1:2" s="21" customFormat="1" ht="21" x14ac:dyDescent="0.35">
      <c r="A14" s="36" t="s">
        <v>284</v>
      </c>
      <c r="B14" s="36"/>
    </row>
    <row r="15" spans="1:2" x14ac:dyDescent="0.25">
      <c r="A15" t="s">
        <v>268</v>
      </c>
      <c r="B15" t="s">
        <v>1</v>
      </c>
    </row>
    <row r="16" spans="1:2" x14ac:dyDescent="0.25">
      <c r="A16" s="3" t="s">
        <v>265</v>
      </c>
      <c r="B16" t="s">
        <v>1</v>
      </c>
    </row>
    <row r="17" spans="1:2" x14ac:dyDescent="0.25">
      <c r="A17" s="3" t="s">
        <v>266</v>
      </c>
      <c r="B17" t="s">
        <v>1</v>
      </c>
    </row>
    <row r="18" spans="1:2" x14ac:dyDescent="0.25">
      <c r="A18" s="3" t="s">
        <v>270</v>
      </c>
      <c r="B18" t="s">
        <v>1</v>
      </c>
    </row>
    <row r="19" spans="1:2" x14ac:dyDescent="0.25">
      <c r="A19" s="3" t="s">
        <v>272</v>
      </c>
      <c r="B19" t="s">
        <v>1</v>
      </c>
    </row>
    <row r="20" spans="1:2" x14ac:dyDescent="0.25">
      <c r="A20" s="3" t="s">
        <v>267</v>
      </c>
      <c r="B20" t="s">
        <v>1</v>
      </c>
    </row>
    <row r="21" spans="1:2" x14ac:dyDescent="0.25">
      <c r="A21" t="s">
        <v>269</v>
      </c>
      <c r="B21" t="s">
        <v>1</v>
      </c>
    </row>
    <row r="22" spans="1:2" x14ac:dyDescent="0.25">
      <c r="A22" s="3" t="s">
        <v>267</v>
      </c>
      <c r="B22" t="s">
        <v>1</v>
      </c>
    </row>
    <row r="23" spans="1:2" ht="21" x14ac:dyDescent="0.35">
      <c r="A23" s="36" t="s">
        <v>511</v>
      </c>
      <c r="B23" s="36"/>
    </row>
    <row r="24" spans="1:2" x14ac:dyDescent="0.25">
      <c r="A24" t="s">
        <v>511</v>
      </c>
      <c r="B24" t="s">
        <v>1</v>
      </c>
    </row>
  </sheetData>
  <mergeCells count="3">
    <mergeCell ref="A2:B2"/>
    <mergeCell ref="A14:B14"/>
    <mergeCell ref="A23:B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3839-ED16-4AB6-820D-BF7B437080A8}">
  <sheetPr codeName="Sheet7"/>
  <dimension ref="A1:F11"/>
  <sheetViews>
    <sheetView workbookViewId="0">
      <selection activeCell="A11" sqref="A11"/>
    </sheetView>
  </sheetViews>
  <sheetFormatPr defaultRowHeight="15" x14ac:dyDescent="0.25"/>
  <cols>
    <col min="1" max="1" width="39.7109375" customWidth="1"/>
    <col min="2" max="2" width="16.7109375" customWidth="1"/>
  </cols>
  <sheetData>
    <row r="1" spans="1:6" s="21" customFormat="1" ht="21" x14ac:dyDescent="0.35">
      <c r="A1" s="36" t="s">
        <v>233</v>
      </c>
      <c r="B1" s="36"/>
      <c r="C1" s="36"/>
      <c r="D1" s="36"/>
      <c r="E1" s="36"/>
      <c r="F1" s="36"/>
    </row>
    <row r="2" spans="1:6" x14ac:dyDescent="0.25">
      <c r="A2" s="3" t="s">
        <v>190</v>
      </c>
      <c r="B2" t="s">
        <v>1</v>
      </c>
    </row>
    <row r="3" spans="1:6" x14ac:dyDescent="0.25">
      <c r="A3" s="3" t="s">
        <v>182</v>
      </c>
      <c r="B3" t="s">
        <v>1</v>
      </c>
    </row>
    <row r="4" spans="1:6" x14ac:dyDescent="0.25">
      <c r="A4" s="3" t="s">
        <v>183</v>
      </c>
      <c r="B4" t="s">
        <v>1</v>
      </c>
    </row>
    <row r="5" spans="1:6" x14ac:dyDescent="0.25">
      <c r="A5" s="3" t="s">
        <v>431</v>
      </c>
      <c r="B5" t="s">
        <v>1</v>
      </c>
    </row>
    <row r="6" spans="1:6" x14ac:dyDescent="0.25">
      <c r="A6" s="3" t="s">
        <v>280</v>
      </c>
      <c r="B6" t="s">
        <v>347</v>
      </c>
    </row>
    <row r="7" spans="1:6" x14ac:dyDescent="0.25">
      <c r="A7" s="3" t="s">
        <v>430</v>
      </c>
      <c r="B7" t="s">
        <v>347</v>
      </c>
    </row>
    <row r="8" spans="1:6" x14ac:dyDescent="0.25">
      <c r="A8" s="3" t="s">
        <v>184</v>
      </c>
      <c r="B8" t="s">
        <v>347</v>
      </c>
    </row>
    <row r="9" spans="1:6" x14ac:dyDescent="0.25">
      <c r="A9" s="3" t="s">
        <v>346</v>
      </c>
      <c r="B9" t="s">
        <v>347</v>
      </c>
    </row>
    <row r="11" spans="1:6" x14ac:dyDescent="0.25">
      <c r="A11" s="3" t="s">
        <v>432</v>
      </c>
      <c r="B11" t="s">
        <v>1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H10"/>
  <sheetViews>
    <sheetView workbookViewId="0">
      <selection activeCell="A4" sqref="A4"/>
    </sheetView>
  </sheetViews>
  <sheetFormatPr defaultRowHeight="15" x14ac:dyDescent="0.25"/>
  <cols>
    <col min="1" max="1" width="38.5703125" customWidth="1"/>
    <col min="2" max="2" width="12" customWidth="1"/>
  </cols>
  <sheetData>
    <row r="1" spans="1:8" s="21" customFormat="1" ht="21" x14ac:dyDescent="0.35">
      <c r="A1" s="36" t="s">
        <v>6</v>
      </c>
      <c r="B1" s="36"/>
      <c r="C1" s="36"/>
      <c r="D1" s="36"/>
      <c r="E1" s="36"/>
      <c r="F1" s="36"/>
      <c r="G1" s="36"/>
      <c r="H1" s="36"/>
    </row>
    <row r="2" spans="1:8" x14ac:dyDescent="0.25">
      <c r="A2" s="2" t="s">
        <v>6</v>
      </c>
    </row>
    <row r="3" spans="1:8" x14ac:dyDescent="0.25">
      <c r="A3" s="3" t="s">
        <v>344</v>
      </c>
      <c r="B3" t="s">
        <v>1</v>
      </c>
    </row>
    <row r="4" spans="1:8" x14ac:dyDescent="0.25">
      <c r="A4" s="3" t="s">
        <v>107</v>
      </c>
      <c r="B4" t="s">
        <v>1</v>
      </c>
    </row>
    <row r="5" spans="1:8" x14ac:dyDescent="0.25">
      <c r="A5" s="3" t="s">
        <v>108</v>
      </c>
      <c r="B5" t="s">
        <v>1</v>
      </c>
    </row>
    <row r="6" spans="1:8" x14ac:dyDescent="0.25">
      <c r="A6" s="3" t="s">
        <v>262</v>
      </c>
      <c r="B6" t="s">
        <v>1</v>
      </c>
    </row>
    <row r="7" spans="1:8" x14ac:dyDescent="0.25">
      <c r="A7" s="3" t="s">
        <v>261</v>
      </c>
      <c r="B7" t="s">
        <v>1</v>
      </c>
    </row>
    <row r="8" spans="1:8" x14ac:dyDescent="0.25">
      <c r="A8" s="3" t="s">
        <v>286</v>
      </c>
      <c r="B8" t="s">
        <v>1</v>
      </c>
    </row>
    <row r="9" spans="1:8" x14ac:dyDescent="0.25">
      <c r="A9" s="3" t="s">
        <v>433</v>
      </c>
      <c r="B9" t="s">
        <v>1</v>
      </c>
    </row>
    <row r="10" spans="1:8" x14ac:dyDescent="0.25">
      <c r="A10" s="3" t="s">
        <v>434</v>
      </c>
      <c r="B10" t="s">
        <v>1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3CDB-670C-4EED-B0F9-F647A41CC052}">
  <sheetPr codeName="Sheet10"/>
  <dimension ref="A1:A19"/>
  <sheetViews>
    <sheetView workbookViewId="0">
      <selection activeCell="B25" sqref="B25"/>
    </sheetView>
  </sheetViews>
  <sheetFormatPr defaultRowHeight="15" x14ac:dyDescent="0.25"/>
  <cols>
    <col min="1" max="1" width="27.28515625" customWidth="1"/>
  </cols>
  <sheetData>
    <row r="1" spans="1:1" x14ac:dyDescent="0.25">
      <c r="A1" s="2" t="s">
        <v>77</v>
      </c>
    </row>
    <row r="2" spans="1:1" x14ac:dyDescent="0.25">
      <c r="A2" s="3" t="s">
        <v>78</v>
      </c>
    </row>
    <row r="3" spans="1:1" x14ac:dyDescent="0.25">
      <c r="A3" s="3" t="s">
        <v>82</v>
      </c>
    </row>
    <row r="4" spans="1:1" x14ac:dyDescent="0.25">
      <c r="A4" s="3" t="s">
        <v>79</v>
      </c>
    </row>
    <row r="5" spans="1:1" x14ac:dyDescent="0.25">
      <c r="A5" s="3" t="s">
        <v>80</v>
      </c>
    </row>
    <row r="6" spans="1:1" x14ac:dyDescent="0.25">
      <c r="A6" s="3" t="s">
        <v>83</v>
      </c>
    </row>
    <row r="7" spans="1:1" x14ac:dyDescent="0.25">
      <c r="A7" s="3" t="s">
        <v>81</v>
      </c>
    </row>
    <row r="8" spans="1:1" x14ac:dyDescent="0.25">
      <c r="A8" s="3" t="s">
        <v>84</v>
      </c>
    </row>
    <row r="9" spans="1:1" x14ac:dyDescent="0.25">
      <c r="A9" s="3"/>
    </row>
    <row r="10" spans="1:1" x14ac:dyDescent="0.25">
      <c r="A10" s="29" t="s">
        <v>441</v>
      </c>
    </row>
    <row r="11" spans="1:1" x14ac:dyDescent="0.25">
      <c r="A11" s="3"/>
    </row>
    <row r="12" spans="1:1" x14ac:dyDescent="0.25">
      <c r="A12" s="29" t="s">
        <v>436</v>
      </c>
    </row>
    <row r="13" spans="1:1" x14ac:dyDescent="0.25">
      <c r="A13" s="29" t="s">
        <v>439</v>
      </c>
    </row>
    <row r="14" spans="1:1" x14ac:dyDescent="0.25">
      <c r="A14" s="29" t="s">
        <v>438</v>
      </c>
    </row>
    <row r="15" spans="1:1" x14ac:dyDescent="0.25">
      <c r="A15" s="29" t="s">
        <v>387</v>
      </c>
    </row>
    <row r="16" spans="1:1" x14ac:dyDescent="0.25">
      <c r="A16" s="29" t="s">
        <v>440</v>
      </c>
    </row>
    <row r="17" spans="1:1" x14ac:dyDescent="0.25">
      <c r="A17" s="29" t="s">
        <v>435</v>
      </c>
    </row>
    <row r="18" spans="1:1" x14ac:dyDescent="0.25">
      <c r="A18" s="29" t="s">
        <v>437</v>
      </c>
    </row>
    <row r="19" spans="1:1" x14ac:dyDescent="0.25">
      <c r="A19" s="29" t="s">
        <v>271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4958-92BF-45F1-B61B-FD3E1AF2C5A6}">
  <sheetPr codeName="Sheet11"/>
  <dimension ref="A1:I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8" sqref="A18"/>
    </sheetView>
  </sheetViews>
  <sheetFormatPr defaultRowHeight="15" x14ac:dyDescent="0.25"/>
  <cols>
    <col min="1" max="1" width="47.7109375" customWidth="1"/>
    <col min="2" max="2" width="20" customWidth="1"/>
    <col min="6" max="6" width="7.42578125" customWidth="1"/>
    <col min="9" max="9" width="10.7109375" bestFit="1" customWidth="1"/>
  </cols>
  <sheetData>
    <row r="1" spans="1:9" s="21" customFormat="1" ht="21" x14ac:dyDescent="0.35">
      <c r="A1" s="20"/>
      <c r="B1" s="23" t="s">
        <v>221</v>
      </c>
    </row>
    <row r="2" spans="1:9" ht="21" x14ac:dyDescent="0.35">
      <c r="A2" s="36" t="s">
        <v>4</v>
      </c>
      <c r="B2" s="36"/>
      <c r="C2" s="2"/>
      <c r="D2" s="2"/>
      <c r="E2" s="2"/>
      <c r="F2" s="2"/>
    </row>
    <row r="3" spans="1:9" x14ac:dyDescent="0.25">
      <c r="A3" s="3" t="s">
        <v>216</v>
      </c>
      <c r="B3" t="s">
        <v>1</v>
      </c>
      <c r="C3" s="5"/>
      <c r="D3" s="5"/>
      <c r="E3" s="5"/>
      <c r="F3" s="5"/>
    </row>
    <row r="4" spans="1:9" x14ac:dyDescent="0.25">
      <c r="A4" s="3" t="s">
        <v>5</v>
      </c>
      <c r="B4" t="s">
        <v>1</v>
      </c>
    </row>
    <row r="5" spans="1:9" x14ac:dyDescent="0.25">
      <c r="A5" s="3" t="s">
        <v>32</v>
      </c>
      <c r="B5" t="s">
        <v>1</v>
      </c>
    </row>
    <row r="6" spans="1:9" x14ac:dyDescent="0.25">
      <c r="A6" s="3" t="s">
        <v>33</v>
      </c>
      <c r="B6" t="s">
        <v>1</v>
      </c>
    </row>
    <row r="7" spans="1:9" x14ac:dyDescent="0.25">
      <c r="A7" s="3" t="s">
        <v>6</v>
      </c>
      <c r="B7" t="s">
        <v>1</v>
      </c>
      <c r="I7" s="15"/>
    </row>
    <row r="8" spans="1:9" x14ac:dyDescent="0.25">
      <c r="A8" s="3" t="s">
        <v>35</v>
      </c>
      <c r="B8" s="28" t="s">
        <v>34</v>
      </c>
      <c r="I8" s="15"/>
    </row>
    <row r="9" spans="1:9" x14ac:dyDescent="0.25">
      <c r="I9" s="15"/>
    </row>
    <row r="10" spans="1:9" ht="21" x14ac:dyDescent="0.35">
      <c r="A10" s="36" t="s">
        <v>3</v>
      </c>
      <c r="B10" s="36"/>
      <c r="C10" s="2"/>
      <c r="D10" s="2"/>
      <c r="E10" s="2"/>
      <c r="F10" s="2"/>
      <c r="I10" s="15"/>
    </row>
    <row r="11" spans="1:9" x14ac:dyDescent="0.25">
      <c r="A11" s="3" t="s">
        <v>28</v>
      </c>
      <c r="B11" t="s">
        <v>1</v>
      </c>
      <c r="I11" s="15"/>
    </row>
    <row r="12" spans="1:9" x14ac:dyDescent="0.25">
      <c r="A12" s="3" t="s">
        <v>0</v>
      </c>
      <c r="B12" t="s">
        <v>1</v>
      </c>
      <c r="I12" s="15"/>
    </row>
    <row r="13" spans="1:9" x14ac:dyDescent="0.25">
      <c r="A13" s="3" t="s">
        <v>16</v>
      </c>
      <c r="B13" t="s">
        <v>1</v>
      </c>
    </row>
    <row r="14" spans="1:9" x14ac:dyDescent="0.25">
      <c r="A14" s="3" t="s">
        <v>29</v>
      </c>
      <c r="B14" t="s">
        <v>1</v>
      </c>
    </row>
    <row r="15" spans="1:9" x14ac:dyDescent="0.25">
      <c r="A15" s="3" t="s">
        <v>30</v>
      </c>
      <c r="B15" t="s">
        <v>1</v>
      </c>
    </row>
    <row r="16" spans="1:9" x14ac:dyDescent="0.25">
      <c r="A16" s="3" t="s">
        <v>31</v>
      </c>
      <c r="B16" t="s">
        <v>1</v>
      </c>
    </row>
    <row r="17" spans="1:2" x14ac:dyDescent="0.25">
      <c r="A17" s="3" t="s">
        <v>7</v>
      </c>
      <c r="B17" t="s">
        <v>1</v>
      </c>
    </row>
    <row r="18" spans="1:2" x14ac:dyDescent="0.25">
      <c r="A18" s="3" t="s">
        <v>62</v>
      </c>
      <c r="B18" t="s">
        <v>1</v>
      </c>
    </row>
    <row r="19" spans="1:2" x14ac:dyDescent="0.25">
      <c r="A19" s="3" t="s">
        <v>63</v>
      </c>
      <c r="B19" t="s">
        <v>1</v>
      </c>
    </row>
    <row r="20" spans="1:2" x14ac:dyDescent="0.25">
      <c r="A20" s="3" t="s">
        <v>217</v>
      </c>
      <c r="B20" t="s">
        <v>1</v>
      </c>
    </row>
    <row r="21" spans="1:2" x14ac:dyDescent="0.25">
      <c r="A21" s="3" t="s">
        <v>210</v>
      </c>
      <c r="B21" t="s">
        <v>1</v>
      </c>
    </row>
    <row r="22" spans="1:2" x14ac:dyDescent="0.25">
      <c r="A22" s="3" t="s">
        <v>43</v>
      </c>
      <c r="B22" t="s">
        <v>1</v>
      </c>
    </row>
  </sheetData>
  <mergeCells count="2">
    <mergeCell ref="A2:B2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07A2-A4BF-4D9A-A458-ADF8C1BBC406}">
  <sheetPr codeName="Sheet12"/>
  <dimension ref="A1:B24"/>
  <sheetViews>
    <sheetView workbookViewId="0">
      <selection activeCell="A13" sqref="A13:XFD13"/>
    </sheetView>
  </sheetViews>
  <sheetFormatPr defaultRowHeight="15" x14ac:dyDescent="0.25"/>
  <cols>
    <col min="1" max="1" width="53.28515625" customWidth="1"/>
    <col min="2" max="2" width="28.140625" customWidth="1"/>
  </cols>
  <sheetData>
    <row r="1" spans="1:2" ht="21" x14ac:dyDescent="0.35">
      <c r="A1" s="36" t="s">
        <v>287</v>
      </c>
      <c r="B1" s="36"/>
    </row>
    <row r="2" spans="1:2" x14ac:dyDescent="0.25">
      <c r="A2" t="s">
        <v>13</v>
      </c>
    </row>
    <row r="3" spans="1:2" x14ac:dyDescent="0.25">
      <c r="A3" t="s">
        <v>115</v>
      </c>
    </row>
    <row r="4" spans="1:2" x14ac:dyDescent="0.25">
      <c r="A4" t="s">
        <v>444</v>
      </c>
    </row>
    <row r="5" spans="1:2" x14ac:dyDescent="0.25">
      <c r="A5" t="s">
        <v>14</v>
      </c>
    </row>
    <row r="6" spans="1:2" x14ac:dyDescent="0.25">
      <c r="A6" t="s">
        <v>289</v>
      </c>
    </row>
    <row r="7" spans="1:2" x14ac:dyDescent="0.25">
      <c r="A7" t="s">
        <v>116</v>
      </c>
    </row>
    <row r="8" spans="1:2" x14ac:dyDescent="0.25">
      <c r="A8" t="s">
        <v>285</v>
      </c>
    </row>
    <row r="9" spans="1:2" x14ac:dyDescent="0.25">
      <c r="A9" t="s">
        <v>290</v>
      </c>
    </row>
    <row r="11" spans="1:2" ht="21" x14ac:dyDescent="0.35">
      <c r="A11" s="36" t="s">
        <v>442</v>
      </c>
      <c r="B11" s="36"/>
    </row>
    <row r="12" spans="1:2" x14ac:dyDescent="0.25">
      <c r="A12" t="s">
        <v>443</v>
      </c>
      <c r="B12" t="s">
        <v>445</v>
      </c>
    </row>
    <row r="14" spans="1:2" ht="21" x14ac:dyDescent="0.35">
      <c r="A14" s="36" t="s">
        <v>288</v>
      </c>
      <c r="B14" s="36"/>
    </row>
    <row r="15" spans="1:2" x14ac:dyDescent="0.25">
      <c r="A15" t="s">
        <v>58</v>
      </c>
      <c r="B15" s="29" t="s">
        <v>513</v>
      </c>
    </row>
    <row r="16" spans="1:2" x14ac:dyDescent="0.25">
      <c r="A16" t="s">
        <v>57</v>
      </c>
      <c r="B16" s="29" t="s">
        <v>513</v>
      </c>
    </row>
    <row r="17" spans="1:2" x14ac:dyDescent="0.25">
      <c r="A17" t="s">
        <v>59</v>
      </c>
      <c r="B17" s="29" t="s">
        <v>513</v>
      </c>
    </row>
    <row r="18" spans="1:2" x14ac:dyDescent="0.25">
      <c r="B18" s="29"/>
    </row>
    <row r="19" spans="1:2" x14ac:dyDescent="0.25">
      <c r="A19" t="s">
        <v>60</v>
      </c>
      <c r="B19" s="29"/>
    </row>
    <row r="20" spans="1:2" x14ac:dyDescent="0.25">
      <c r="B20" s="29"/>
    </row>
    <row r="21" spans="1:2" x14ac:dyDescent="0.25">
      <c r="A21" s="3" t="s">
        <v>448</v>
      </c>
      <c r="B21" s="29" t="s">
        <v>513</v>
      </c>
    </row>
    <row r="22" spans="1:2" ht="14.25" customHeight="1" x14ac:dyDescent="0.25">
      <c r="A22" s="3" t="s">
        <v>451</v>
      </c>
      <c r="B22" s="29" t="s">
        <v>513</v>
      </c>
    </row>
    <row r="23" spans="1:2" x14ac:dyDescent="0.25">
      <c r="A23" s="3"/>
      <c r="B23" s="29"/>
    </row>
    <row r="24" spans="1:2" x14ac:dyDescent="0.25">
      <c r="A24" s="3" t="s">
        <v>171</v>
      </c>
      <c r="B24" s="29" t="s">
        <v>513</v>
      </c>
    </row>
  </sheetData>
  <mergeCells count="3">
    <mergeCell ref="A1:B1"/>
    <mergeCell ref="A14:B14"/>
    <mergeCell ref="A11:B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D76FF-1744-421C-A63C-4AE4C6C96FD2}">
  <sheetPr codeName="Sheet13"/>
  <dimension ref="A1:C36"/>
  <sheetViews>
    <sheetView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A25" sqref="A25"/>
    </sheetView>
  </sheetViews>
  <sheetFormatPr defaultRowHeight="15" x14ac:dyDescent="0.25"/>
  <cols>
    <col min="1" max="1" width="38.85546875" customWidth="1"/>
    <col min="2" max="2" width="20" customWidth="1"/>
  </cols>
  <sheetData>
    <row r="1" spans="1:2" s="21" customFormat="1" ht="21" x14ac:dyDescent="0.35">
      <c r="A1" s="20"/>
      <c r="B1" s="23" t="s">
        <v>221</v>
      </c>
    </row>
    <row r="2" spans="1:2" s="21" customFormat="1" ht="21" x14ac:dyDescent="0.35">
      <c r="A2" s="36" t="s">
        <v>282</v>
      </c>
      <c r="B2" s="36"/>
    </row>
    <row r="3" spans="1:2" x14ac:dyDescent="0.25">
      <c r="A3" s="3" t="s">
        <v>148</v>
      </c>
      <c r="B3" t="s">
        <v>1</v>
      </c>
    </row>
    <row r="4" spans="1:2" x14ac:dyDescent="0.25">
      <c r="A4" s="3" t="s">
        <v>212</v>
      </c>
      <c r="B4" t="s">
        <v>1</v>
      </c>
    </row>
    <row r="5" spans="1:2" x14ac:dyDescent="0.25">
      <c r="A5" s="10" t="s">
        <v>37</v>
      </c>
      <c r="B5" t="s">
        <v>1</v>
      </c>
    </row>
    <row r="6" spans="1:2" x14ac:dyDescent="0.25">
      <c r="A6" s="10" t="s">
        <v>214</v>
      </c>
      <c r="B6" t="s">
        <v>1</v>
      </c>
    </row>
    <row r="7" spans="1:2" x14ac:dyDescent="0.25">
      <c r="A7" s="10" t="s">
        <v>123</v>
      </c>
      <c r="B7" t="s">
        <v>1</v>
      </c>
    </row>
    <row r="8" spans="1:2" x14ac:dyDescent="0.25">
      <c r="A8" s="10" t="s">
        <v>36</v>
      </c>
      <c r="B8" t="s">
        <v>1</v>
      </c>
    </row>
    <row r="9" spans="1:2" x14ac:dyDescent="0.25">
      <c r="A9" s="10" t="s">
        <v>213</v>
      </c>
      <c r="B9" t="s">
        <v>1</v>
      </c>
    </row>
    <row r="10" spans="1:2" x14ac:dyDescent="0.25">
      <c r="A10" s="3"/>
      <c r="B10" s="14"/>
    </row>
    <row r="11" spans="1:2" x14ac:dyDescent="0.25">
      <c r="A11" s="3" t="s">
        <v>86</v>
      </c>
      <c r="B11" s="6" t="s">
        <v>34</v>
      </c>
    </row>
    <row r="12" spans="1:2" x14ac:dyDescent="0.25">
      <c r="A12" s="3" t="s">
        <v>87</v>
      </c>
      <c r="B12" t="s">
        <v>1</v>
      </c>
    </row>
    <row r="13" spans="1:2" x14ac:dyDescent="0.25">
      <c r="A13" s="3" t="s">
        <v>413</v>
      </c>
      <c r="B13" t="s">
        <v>1</v>
      </c>
    </row>
    <row r="14" spans="1:2" x14ac:dyDescent="0.25">
      <c r="A14" s="3" t="s">
        <v>179</v>
      </c>
      <c r="B14" t="s">
        <v>1</v>
      </c>
    </row>
    <row r="15" spans="1:2" x14ac:dyDescent="0.25">
      <c r="A15" s="3" t="s">
        <v>180</v>
      </c>
      <c r="B15" t="s">
        <v>1</v>
      </c>
    </row>
    <row r="16" spans="1:2" x14ac:dyDescent="0.25">
      <c r="A16" s="3" t="s">
        <v>211</v>
      </c>
      <c r="B16" t="s">
        <v>1</v>
      </c>
    </row>
    <row r="17" spans="1:3" x14ac:dyDescent="0.25">
      <c r="A17" s="3" t="s">
        <v>181</v>
      </c>
      <c r="B17" t="s">
        <v>1</v>
      </c>
    </row>
    <row r="18" spans="1:3" x14ac:dyDescent="0.25">
      <c r="A18" s="3" t="s">
        <v>166</v>
      </c>
      <c r="B18" t="s">
        <v>1</v>
      </c>
    </row>
    <row r="19" spans="1:3" x14ac:dyDescent="0.25">
      <c r="A19" s="3" t="s">
        <v>187</v>
      </c>
      <c r="B19" s="6" t="s">
        <v>34</v>
      </c>
    </row>
    <row r="20" spans="1:3" s="21" customFormat="1" ht="21" x14ac:dyDescent="0.35">
      <c r="A20" s="36" t="s">
        <v>125</v>
      </c>
      <c r="B20" s="36"/>
    </row>
    <row r="21" spans="1:3" x14ac:dyDescent="0.25">
      <c r="A21" s="3" t="s">
        <v>130</v>
      </c>
      <c r="B21" t="s">
        <v>1</v>
      </c>
    </row>
    <row r="22" spans="1:3" x14ac:dyDescent="0.25">
      <c r="A22" s="3" t="s">
        <v>129</v>
      </c>
      <c r="B22" t="s">
        <v>1</v>
      </c>
    </row>
    <row r="23" spans="1:3" x14ac:dyDescent="0.25">
      <c r="A23" s="3" t="s">
        <v>131</v>
      </c>
      <c r="B23" t="s">
        <v>1</v>
      </c>
    </row>
    <row r="24" spans="1:3" x14ac:dyDescent="0.25">
      <c r="A24" s="3" t="s">
        <v>188</v>
      </c>
      <c r="B24" t="s">
        <v>1</v>
      </c>
    </row>
    <row r="25" spans="1:3" x14ac:dyDescent="0.25">
      <c r="A25" s="3" t="s">
        <v>133</v>
      </c>
      <c r="B25" t="s">
        <v>1</v>
      </c>
    </row>
    <row r="26" spans="1:3" x14ac:dyDescent="0.25">
      <c r="A26" s="10" t="s">
        <v>126</v>
      </c>
      <c r="B26" t="s">
        <v>1</v>
      </c>
    </row>
    <row r="27" spans="1:3" x14ac:dyDescent="0.25">
      <c r="A27" s="10" t="s">
        <v>127</v>
      </c>
      <c r="B27" t="s">
        <v>1</v>
      </c>
    </row>
    <row r="28" spans="1:3" x14ac:dyDescent="0.25">
      <c r="A28" s="10" t="s">
        <v>128</v>
      </c>
      <c r="B28" t="s">
        <v>1</v>
      </c>
    </row>
    <row r="29" spans="1:3" x14ac:dyDescent="0.25">
      <c r="A29" s="3" t="s">
        <v>132</v>
      </c>
      <c r="B29" t="s">
        <v>1</v>
      </c>
    </row>
    <row r="30" spans="1:3" x14ac:dyDescent="0.25">
      <c r="A30" s="3" t="s">
        <v>124</v>
      </c>
      <c r="B30" t="s">
        <v>1</v>
      </c>
    </row>
    <row r="31" spans="1:3" x14ac:dyDescent="0.25">
      <c r="A31" s="3" t="s">
        <v>189</v>
      </c>
      <c r="B31" t="s">
        <v>1</v>
      </c>
      <c r="C31" s="8"/>
    </row>
    <row r="32" spans="1:3" x14ac:dyDescent="0.25">
      <c r="A32" s="3" t="s">
        <v>351</v>
      </c>
      <c r="B32" t="s">
        <v>1</v>
      </c>
      <c r="C32" s="8"/>
    </row>
    <row r="34" spans="1:2" x14ac:dyDescent="0.25">
      <c r="A34" s="3" t="s">
        <v>105</v>
      </c>
      <c r="B34" t="s">
        <v>1</v>
      </c>
    </row>
    <row r="35" spans="1:2" x14ac:dyDescent="0.25">
      <c r="A35" s="3" t="s">
        <v>353</v>
      </c>
      <c r="B35" t="s">
        <v>1</v>
      </c>
    </row>
    <row r="36" spans="1:2" x14ac:dyDescent="0.25">
      <c r="A36" s="3" t="s">
        <v>354</v>
      </c>
      <c r="B36" t="s">
        <v>1</v>
      </c>
    </row>
  </sheetData>
  <mergeCells count="2">
    <mergeCell ref="A20:B20"/>
    <mergeCell ref="A2:B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DFB1-1457-49AD-A058-5C3B234AAD6E}">
  <dimension ref="A1:C75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56" sqref="A56"/>
    </sheetView>
  </sheetViews>
  <sheetFormatPr defaultRowHeight="15" x14ac:dyDescent="0.25"/>
  <cols>
    <col min="1" max="1" width="38.7109375" customWidth="1"/>
    <col min="2" max="2" width="20" customWidth="1"/>
  </cols>
  <sheetData>
    <row r="1" spans="1:2" s="21" customFormat="1" ht="21" x14ac:dyDescent="0.35">
      <c r="A1" s="20"/>
      <c r="B1" s="23" t="s">
        <v>221</v>
      </c>
    </row>
    <row r="2" spans="1:2" s="21" customFormat="1" ht="21" x14ac:dyDescent="0.35">
      <c r="A2" s="36" t="s">
        <v>415</v>
      </c>
      <c r="B2" s="36"/>
    </row>
    <row r="3" spans="1:2" x14ac:dyDescent="0.25">
      <c r="A3" t="s">
        <v>362</v>
      </c>
    </row>
    <row r="4" spans="1:2" s="3" customFormat="1" x14ac:dyDescent="0.25">
      <c r="A4" s="3" t="s">
        <v>416</v>
      </c>
      <c r="B4" s="29" t="s">
        <v>1</v>
      </c>
    </row>
    <row r="5" spans="1:2" s="3" customFormat="1" x14ac:dyDescent="0.25">
      <c r="A5" s="3" t="s">
        <v>417</v>
      </c>
      <c r="B5" s="29" t="s">
        <v>1</v>
      </c>
    </row>
    <row r="6" spans="1:2" x14ac:dyDescent="0.25">
      <c r="A6" s="29" t="s">
        <v>381</v>
      </c>
      <c r="B6" t="s">
        <v>1</v>
      </c>
    </row>
    <row r="7" spans="1:2" x14ac:dyDescent="0.25">
      <c r="A7" s="29" t="s">
        <v>405</v>
      </c>
      <c r="B7" t="s">
        <v>1</v>
      </c>
    </row>
    <row r="8" spans="1:2" x14ac:dyDescent="0.25">
      <c r="A8" s="29" t="s">
        <v>406</v>
      </c>
      <c r="B8" t="s">
        <v>1</v>
      </c>
    </row>
    <row r="9" spans="1:2" x14ac:dyDescent="0.25">
      <c r="A9" s="29" t="s">
        <v>407</v>
      </c>
      <c r="B9" t="s">
        <v>1</v>
      </c>
    </row>
    <row r="10" spans="1:2" s="21" customFormat="1" ht="21" x14ac:dyDescent="0.35">
      <c r="A10" s="36" t="s">
        <v>348</v>
      </c>
      <c r="B10" s="36"/>
    </row>
    <row r="11" spans="1:2" x14ac:dyDescent="0.25">
      <c r="A11" t="s">
        <v>371</v>
      </c>
    </row>
    <row r="12" spans="1:2" x14ac:dyDescent="0.25">
      <c r="A12" s="3" t="s">
        <v>364</v>
      </c>
      <c r="B12" t="s">
        <v>1</v>
      </c>
    </row>
    <row r="13" spans="1:2" x14ac:dyDescent="0.25">
      <c r="A13" s="3" t="s">
        <v>365</v>
      </c>
      <c r="B13" t="s">
        <v>1</v>
      </c>
    </row>
    <row r="14" spans="1:2" x14ac:dyDescent="0.25">
      <c r="A14" s="3" t="s">
        <v>367</v>
      </c>
      <c r="B14" t="s">
        <v>1</v>
      </c>
    </row>
    <row r="15" spans="1:2" x14ac:dyDescent="0.25">
      <c r="A15" s="3" t="s">
        <v>366</v>
      </c>
      <c r="B15" t="s">
        <v>1</v>
      </c>
    </row>
    <row r="16" spans="1:2" x14ac:dyDescent="0.25">
      <c r="A16" s="3" t="s">
        <v>370</v>
      </c>
      <c r="B16" t="s">
        <v>1</v>
      </c>
    </row>
    <row r="17" spans="1:2" x14ac:dyDescent="0.25">
      <c r="A17" s="3" t="s">
        <v>372</v>
      </c>
      <c r="B17" t="s">
        <v>1</v>
      </c>
    </row>
    <row r="18" spans="1:2" x14ac:dyDescent="0.25">
      <c r="A18" s="3" t="s">
        <v>373</v>
      </c>
      <c r="B18" t="s">
        <v>1</v>
      </c>
    </row>
    <row r="19" spans="1:2" x14ac:dyDescent="0.25">
      <c r="A19" s="10" t="s">
        <v>384</v>
      </c>
      <c r="B19" t="s">
        <v>1</v>
      </c>
    </row>
    <row r="20" spans="1:2" x14ac:dyDescent="0.25">
      <c r="A20" s="3" t="s">
        <v>374</v>
      </c>
      <c r="B20" t="s">
        <v>1</v>
      </c>
    </row>
    <row r="21" spans="1:2" x14ac:dyDescent="0.25">
      <c r="A21" s="10" t="s">
        <v>385</v>
      </c>
      <c r="B21" t="s">
        <v>1</v>
      </c>
    </row>
    <row r="22" spans="1:2" x14ac:dyDescent="0.25">
      <c r="A22" s="3" t="s">
        <v>375</v>
      </c>
      <c r="B22" t="s">
        <v>1</v>
      </c>
    </row>
    <row r="23" spans="1:2" x14ac:dyDescent="0.25">
      <c r="A23" s="3" t="s">
        <v>376</v>
      </c>
      <c r="B23" t="s">
        <v>1</v>
      </c>
    </row>
    <row r="24" spans="1:2" x14ac:dyDescent="0.25">
      <c r="A24" s="3" t="s">
        <v>377</v>
      </c>
      <c r="B24" t="s">
        <v>1</v>
      </c>
    </row>
    <row r="25" spans="1:2" x14ac:dyDescent="0.25">
      <c r="A25" s="3" t="s">
        <v>378</v>
      </c>
      <c r="B25" t="s">
        <v>1</v>
      </c>
    </row>
    <row r="26" spans="1:2" x14ac:dyDescent="0.25">
      <c r="A26" s="3" t="s">
        <v>379</v>
      </c>
      <c r="B26" t="s">
        <v>1</v>
      </c>
    </row>
    <row r="27" spans="1:2" x14ac:dyDescent="0.25">
      <c r="A27" s="3" t="s">
        <v>398</v>
      </c>
      <c r="B27" t="s">
        <v>1</v>
      </c>
    </row>
    <row r="28" spans="1:2" x14ac:dyDescent="0.25">
      <c r="A28" s="3" t="s">
        <v>399</v>
      </c>
      <c r="B28" t="s">
        <v>1</v>
      </c>
    </row>
    <row r="29" spans="1:2" x14ac:dyDescent="0.25">
      <c r="A29" s="3" t="s">
        <v>400</v>
      </c>
      <c r="B29" t="s">
        <v>1</v>
      </c>
    </row>
    <row r="30" spans="1:2" x14ac:dyDescent="0.25">
      <c r="A30" s="3" t="s">
        <v>401</v>
      </c>
      <c r="B30" t="s">
        <v>1</v>
      </c>
    </row>
    <row r="31" spans="1:2" s="21" customFormat="1" ht="21" x14ac:dyDescent="0.35">
      <c r="A31" s="36" t="s">
        <v>389</v>
      </c>
      <c r="B31" s="36"/>
    </row>
    <row r="32" spans="1:2" x14ac:dyDescent="0.25">
      <c r="A32" s="29" t="s">
        <v>389</v>
      </c>
      <c r="B32" t="s">
        <v>1</v>
      </c>
    </row>
    <row r="33" spans="1:2" x14ac:dyDescent="0.25">
      <c r="A33" s="3" t="s">
        <v>391</v>
      </c>
      <c r="B33" t="s">
        <v>1</v>
      </c>
    </row>
    <row r="34" spans="1:2" x14ac:dyDescent="0.25">
      <c r="A34" s="29" t="s">
        <v>390</v>
      </c>
      <c r="B34" t="s">
        <v>1</v>
      </c>
    </row>
    <row r="35" spans="1:2" x14ac:dyDescent="0.25">
      <c r="A35" s="29" t="s">
        <v>392</v>
      </c>
      <c r="B35" t="s">
        <v>1</v>
      </c>
    </row>
    <row r="36" spans="1:2" s="21" customFormat="1" ht="21" x14ac:dyDescent="0.35">
      <c r="A36" s="36" t="s">
        <v>414</v>
      </c>
      <c r="B36" s="36"/>
    </row>
    <row r="37" spans="1:2" x14ac:dyDescent="0.25">
      <c r="A37" s="29" t="s">
        <v>378</v>
      </c>
    </row>
    <row r="38" spans="1:2" x14ac:dyDescent="0.25">
      <c r="A38" s="3" t="s">
        <v>404</v>
      </c>
      <c r="B38" t="s">
        <v>1</v>
      </c>
    </row>
    <row r="39" spans="1:2" x14ac:dyDescent="0.25">
      <c r="A39" s="3" t="s">
        <v>383</v>
      </c>
      <c r="B39" t="s">
        <v>1</v>
      </c>
    </row>
    <row r="40" spans="1:2" x14ac:dyDescent="0.25">
      <c r="A40" s="3" t="s">
        <v>402</v>
      </c>
      <c r="B40" t="s">
        <v>1</v>
      </c>
    </row>
    <row r="41" spans="1:2" x14ac:dyDescent="0.25">
      <c r="A41" s="3" t="s">
        <v>386</v>
      </c>
      <c r="B41" t="s">
        <v>1</v>
      </c>
    </row>
    <row r="42" spans="1:2" x14ac:dyDescent="0.25">
      <c r="A42" s="29" t="s">
        <v>379</v>
      </c>
    </row>
    <row r="43" spans="1:2" x14ac:dyDescent="0.25">
      <c r="A43" s="3" t="s">
        <v>403</v>
      </c>
      <c r="B43" t="s">
        <v>1</v>
      </c>
    </row>
    <row r="44" spans="1:2" x14ac:dyDescent="0.25">
      <c r="A44" s="3" t="s">
        <v>412</v>
      </c>
      <c r="B44" t="s">
        <v>1</v>
      </c>
    </row>
    <row r="45" spans="1:2" s="21" customFormat="1" ht="21" x14ac:dyDescent="0.35">
      <c r="A45" s="36" t="s">
        <v>418</v>
      </c>
      <c r="B45" s="36"/>
    </row>
    <row r="46" spans="1:2" x14ac:dyDescent="0.25">
      <c r="A46" t="s">
        <v>368</v>
      </c>
    </row>
    <row r="47" spans="1:2" x14ac:dyDescent="0.25">
      <c r="A47" s="3" t="s">
        <v>393</v>
      </c>
      <c r="B47" t="s">
        <v>1</v>
      </c>
    </row>
    <row r="48" spans="1:2" x14ac:dyDescent="0.25">
      <c r="A48" s="3" t="s">
        <v>395</v>
      </c>
      <c r="B48" t="s">
        <v>1</v>
      </c>
    </row>
    <row r="49" spans="1:2" x14ac:dyDescent="0.25">
      <c r="A49" s="3" t="s">
        <v>396</v>
      </c>
      <c r="B49" t="s">
        <v>1</v>
      </c>
    </row>
    <row r="50" spans="1:2" x14ac:dyDescent="0.25">
      <c r="A50" s="3" t="s">
        <v>397</v>
      </c>
      <c r="B50" t="s">
        <v>1</v>
      </c>
    </row>
    <row r="51" spans="1:2" x14ac:dyDescent="0.25">
      <c r="A51" s="29" t="s">
        <v>386</v>
      </c>
      <c r="B51" t="s">
        <v>1</v>
      </c>
    </row>
    <row r="52" spans="1:2" x14ac:dyDescent="0.25">
      <c r="A52" t="s">
        <v>394</v>
      </c>
      <c r="B52" t="s">
        <v>1</v>
      </c>
    </row>
    <row r="53" spans="1:2" s="21" customFormat="1" ht="21" x14ac:dyDescent="0.35">
      <c r="A53" s="36" t="s">
        <v>419</v>
      </c>
      <c r="B53" s="36"/>
    </row>
    <row r="54" spans="1:2" x14ac:dyDescent="0.25">
      <c r="A54" s="29" t="s">
        <v>382</v>
      </c>
      <c r="B54" t="s">
        <v>1</v>
      </c>
    </row>
    <row r="55" spans="1:2" x14ac:dyDescent="0.25">
      <c r="A55" s="29" t="s">
        <v>369</v>
      </c>
      <c r="B55" s="6">
        <v>2027</v>
      </c>
    </row>
    <row r="56" spans="1:2" x14ac:dyDescent="0.25">
      <c r="A56" s="29" t="s">
        <v>388</v>
      </c>
      <c r="B56" s="6">
        <v>2027</v>
      </c>
    </row>
    <row r="57" spans="1:2" x14ac:dyDescent="0.25">
      <c r="A57" s="29" t="s">
        <v>363</v>
      </c>
      <c r="B57" t="s">
        <v>1</v>
      </c>
    </row>
    <row r="58" spans="1:2" x14ac:dyDescent="0.25">
      <c r="A58" s="29" t="s">
        <v>409</v>
      </c>
      <c r="B58" t="s">
        <v>1</v>
      </c>
    </row>
    <row r="59" spans="1:2" x14ac:dyDescent="0.25">
      <c r="A59" s="29" t="s">
        <v>420</v>
      </c>
      <c r="B59" t="s">
        <v>1</v>
      </c>
    </row>
    <row r="61" spans="1:2" s="21" customFormat="1" ht="21" x14ac:dyDescent="0.35">
      <c r="A61" s="36" t="s">
        <v>421</v>
      </c>
      <c r="B61" s="36"/>
    </row>
    <row r="62" spans="1:2" x14ac:dyDescent="0.25">
      <c r="A62" t="s">
        <v>387</v>
      </c>
      <c r="B62" t="s">
        <v>1</v>
      </c>
    </row>
    <row r="63" spans="1:2" x14ac:dyDescent="0.25">
      <c r="A63" t="s">
        <v>410</v>
      </c>
      <c r="B63" t="s">
        <v>1</v>
      </c>
    </row>
    <row r="64" spans="1:2" x14ac:dyDescent="0.25">
      <c r="A64" t="s">
        <v>411</v>
      </c>
      <c r="B64" t="s">
        <v>1</v>
      </c>
    </row>
    <row r="65" spans="1:3" s="21" customFormat="1" ht="21" x14ac:dyDescent="0.35">
      <c r="A65" s="36" t="s">
        <v>422</v>
      </c>
      <c r="B65" s="36"/>
    </row>
    <row r="66" spans="1:3" x14ac:dyDescent="0.25">
      <c r="A66" t="s">
        <v>291</v>
      </c>
      <c r="B66" t="s">
        <v>1</v>
      </c>
    </row>
    <row r="67" spans="1:3" x14ac:dyDescent="0.25">
      <c r="A67" t="s">
        <v>380</v>
      </c>
      <c r="B67" t="s">
        <v>1</v>
      </c>
    </row>
    <row r="69" spans="1:3" s="21" customFormat="1" ht="21" x14ac:dyDescent="0.35">
      <c r="A69" s="36" t="s">
        <v>425</v>
      </c>
      <c r="B69" s="36"/>
      <c r="C69" t="s">
        <v>428</v>
      </c>
    </row>
    <row r="70" spans="1:3" x14ac:dyDescent="0.25">
      <c r="A70" t="s">
        <v>424</v>
      </c>
      <c r="B70" t="s">
        <v>1</v>
      </c>
    </row>
    <row r="71" spans="1:3" x14ac:dyDescent="0.25">
      <c r="A71" t="s">
        <v>426</v>
      </c>
      <c r="B71" t="s">
        <v>1</v>
      </c>
    </row>
    <row r="72" spans="1:3" x14ac:dyDescent="0.25">
      <c r="A72" t="s">
        <v>427</v>
      </c>
      <c r="B72" t="s">
        <v>1</v>
      </c>
    </row>
    <row r="74" spans="1:3" s="21" customFormat="1" ht="21" x14ac:dyDescent="0.35">
      <c r="A74" s="36" t="s">
        <v>423</v>
      </c>
      <c r="B74" s="36"/>
    </row>
    <row r="75" spans="1:3" x14ac:dyDescent="0.25">
      <c r="A75" t="s">
        <v>408</v>
      </c>
      <c r="B75" t="s">
        <v>1</v>
      </c>
    </row>
  </sheetData>
  <mergeCells count="10">
    <mergeCell ref="A10:B10"/>
    <mergeCell ref="A31:B31"/>
    <mergeCell ref="A36:B36"/>
    <mergeCell ref="A2:B2"/>
    <mergeCell ref="A45:B45"/>
    <mergeCell ref="A53:B53"/>
    <mergeCell ref="A61:B61"/>
    <mergeCell ref="A65:B65"/>
    <mergeCell ref="A69:B69"/>
    <mergeCell ref="A74:B7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A044-CFBC-483E-801B-96AB9B6ECBCB}">
  <sheetPr codeName="Sheet2">
    <tabColor theme="5"/>
  </sheetPr>
  <dimension ref="A1:B21"/>
  <sheetViews>
    <sheetView zoomScaleNormal="100" workbookViewId="0">
      <selection activeCell="A4" sqref="A4"/>
    </sheetView>
  </sheetViews>
  <sheetFormatPr defaultRowHeight="15" x14ac:dyDescent="0.25"/>
  <cols>
    <col min="1" max="1" width="80" customWidth="1"/>
    <col min="2" max="2" width="23" style="17" customWidth="1"/>
  </cols>
  <sheetData>
    <row r="1" spans="1:2" s="21" customFormat="1" ht="44.25" customHeight="1" x14ac:dyDescent="0.35">
      <c r="A1" s="35" t="s">
        <v>463</v>
      </c>
      <c r="B1" s="35"/>
    </row>
    <row r="2" spans="1:2" ht="17.25" customHeight="1" x14ac:dyDescent="0.25">
      <c r="B2"/>
    </row>
    <row r="3" spans="1:2" s="21" customFormat="1" ht="21.75" thickBot="1" x14ac:dyDescent="0.4">
      <c r="A3" s="38" t="s">
        <v>168</v>
      </c>
      <c r="B3" s="38"/>
    </row>
    <row r="4" spans="1:2" x14ac:dyDescent="0.25">
      <c r="A4" s="3" t="s">
        <v>113</v>
      </c>
      <c r="B4" s="17">
        <v>2006</v>
      </c>
    </row>
    <row r="5" spans="1:2" x14ac:dyDescent="0.25">
      <c r="A5" s="3" t="s">
        <v>512</v>
      </c>
      <c r="B5" s="17">
        <v>2006</v>
      </c>
    </row>
    <row r="6" spans="1:2" x14ac:dyDescent="0.25">
      <c r="A6" s="3" t="s">
        <v>461</v>
      </c>
      <c r="B6" s="17" t="s">
        <v>459</v>
      </c>
    </row>
    <row r="7" spans="1:2" x14ac:dyDescent="0.25">
      <c r="A7" s="3" t="s">
        <v>516</v>
      </c>
      <c r="B7" s="17" t="s">
        <v>460</v>
      </c>
    </row>
    <row r="8" spans="1:2" x14ac:dyDescent="0.25">
      <c r="A8" s="3" t="s">
        <v>109</v>
      </c>
      <c r="B8" s="17" t="s">
        <v>460</v>
      </c>
    </row>
    <row r="9" spans="1:2" x14ac:dyDescent="0.25">
      <c r="A9" s="3" t="s">
        <v>111</v>
      </c>
      <c r="B9" s="17" t="s">
        <v>460</v>
      </c>
    </row>
    <row r="10" spans="1:2" x14ac:dyDescent="0.25">
      <c r="A10" s="3" t="s">
        <v>219</v>
      </c>
      <c r="B10" s="17">
        <v>2027</v>
      </c>
    </row>
    <row r="12" spans="1:2" ht="21.75" thickBot="1" x14ac:dyDescent="0.4">
      <c r="A12" s="38" t="s">
        <v>169</v>
      </c>
      <c r="B12" s="38"/>
    </row>
    <row r="13" spans="1:2" x14ac:dyDescent="0.25">
      <c r="A13" s="3" t="s">
        <v>117</v>
      </c>
    </row>
    <row r="14" spans="1:2" x14ac:dyDescent="0.25">
      <c r="A14" s="3" t="s">
        <v>112</v>
      </c>
    </row>
    <row r="16" spans="1:2" x14ac:dyDescent="0.25">
      <c r="A16" s="3" t="s">
        <v>514</v>
      </c>
    </row>
    <row r="17" spans="1:1" x14ac:dyDescent="0.25">
      <c r="A17" s="3" t="s">
        <v>220</v>
      </c>
    </row>
    <row r="18" spans="1:1" x14ac:dyDescent="0.25">
      <c r="A18" s="3" t="s">
        <v>118</v>
      </c>
    </row>
    <row r="20" spans="1:1" ht="14.25" customHeight="1" x14ac:dyDescent="0.25">
      <c r="A20" s="3" t="s">
        <v>447</v>
      </c>
    </row>
    <row r="21" spans="1:1" x14ac:dyDescent="0.25">
      <c r="A21" s="3" t="s">
        <v>446</v>
      </c>
    </row>
  </sheetData>
  <mergeCells count="3">
    <mergeCell ref="A3:B3"/>
    <mergeCell ref="A12:B12"/>
    <mergeCell ref="A1:B1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8981-A9A8-4A09-8712-B44C5D2BBF9C}">
  <sheetPr codeName="Sheet14"/>
  <dimension ref="A1:K55"/>
  <sheetViews>
    <sheetView workbookViewId="0">
      <selection activeCell="A9" sqref="A9"/>
    </sheetView>
  </sheetViews>
  <sheetFormatPr defaultRowHeight="15" x14ac:dyDescent="0.25"/>
  <cols>
    <col min="1" max="1" width="87.85546875" customWidth="1"/>
    <col min="2" max="2" width="20.140625" customWidth="1"/>
    <col min="3" max="3" width="11.7109375" customWidth="1"/>
    <col min="5" max="5" width="15.28515625" bestFit="1" customWidth="1"/>
    <col min="8" max="8" width="19.42578125" customWidth="1"/>
    <col min="9" max="9" width="22.7109375" customWidth="1"/>
    <col min="10" max="10" width="22.28515625" customWidth="1"/>
  </cols>
  <sheetData>
    <row r="1" spans="1:11" s="27" customFormat="1" ht="21" x14ac:dyDescent="0.35">
      <c r="A1" s="26" t="s">
        <v>357</v>
      </c>
    </row>
    <row r="2" spans="1:11" x14ac:dyDescent="0.25">
      <c r="A2" t="s">
        <v>152</v>
      </c>
      <c r="B2" s="1">
        <v>1048576</v>
      </c>
      <c r="C2" t="s">
        <v>358</v>
      </c>
    </row>
    <row r="3" spans="1:11" x14ac:dyDescent="0.25">
      <c r="A3" t="s">
        <v>153</v>
      </c>
      <c r="B3" s="1">
        <v>16384</v>
      </c>
      <c r="C3" t="s">
        <v>359</v>
      </c>
    </row>
    <row r="4" spans="1:11" x14ac:dyDescent="0.25">
      <c r="A4" t="s">
        <v>357</v>
      </c>
      <c r="B4" s="33">
        <f>B2*B3</f>
        <v>17179869184</v>
      </c>
      <c r="C4" s="2" t="s">
        <v>454</v>
      </c>
    </row>
    <row r="5" spans="1:11" x14ac:dyDescent="0.25">
      <c r="B5" s="30"/>
    </row>
    <row r="6" spans="1:11" s="27" customFormat="1" ht="21" x14ac:dyDescent="0.35">
      <c r="A6" s="26" t="s">
        <v>142</v>
      </c>
      <c r="H6" s="22" t="s">
        <v>355</v>
      </c>
      <c r="I6" s="22" t="s">
        <v>356</v>
      </c>
      <c r="J6" s="22" t="s">
        <v>154</v>
      </c>
    </row>
    <row r="7" spans="1:11" x14ac:dyDescent="0.25">
      <c r="A7" t="s">
        <v>277</v>
      </c>
      <c r="B7" s="2"/>
      <c r="H7" s="11">
        <f>POWER(2, 20) * 546</f>
        <v>572522496</v>
      </c>
      <c r="I7" s="11">
        <f>POWER(2,16)* 255 * 7.2</f>
        <v>120324096</v>
      </c>
      <c r="J7" s="11">
        <f>H7*I7</f>
        <v>6.8888251770863616E+16</v>
      </c>
      <c r="K7" t="s">
        <v>276</v>
      </c>
    </row>
    <row r="8" spans="1:11" x14ac:dyDescent="0.25">
      <c r="A8" t="s">
        <v>144</v>
      </c>
    </row>
    <row r="9" spans="1:11" x14ac:dyDescent="0.25">
      <c r="A9" s="10" t="s">
        <v>149</v>
      </c>
    </row>
    <row r="10" spans="1:11" ht="30" x14ac:dyDescent="0.25">
      <c r="A10" s="31" t="s">
        <v>360</v>
      </c>
      <c r="B10" t="s">
        <v>145</v>
      </c>
    </row>
    <row r="11" spans="1:11" x14ac:dyDescent="0.25">
      <c r="A11" t="s">
        <v>143</v>
      </c>
    </row>
    <row r="12" spans="1:11" x14ac:dyDescent="0.25">
      <c r="A12" t="s">
        <v>151</v>
      </c>
      <c r="B12" t="s">
        <v>137</v>
      </c>
      <c r="E12" s="1"/>
    </row>
    <row r="13" spans="1:11" x14ac:dyDescent="0.25">
      <c r="A13" t="s">
        <v>147</v>
      </c>
      <c r="B13" t="s">
        <v>150</v>
      </c>
    </row>
    <row r="15" spans="1:11" s="27" customFormat="1" ht="21" x14ac:dyDescent="0.35">
      <c r="A15" s="26" t="s">
        <v>141</v>
      </c>
    </row>
    <row r="16" spans="1:11" x14ac:dyDescent="0.25">
      <c r="A16" t="s">
        <v>263</v>
      </c>
    </row>
    <row r="17" spans="1:2" x14ac:dyDescent="0.25">
      <c r="A17" s="3" t="s">
        <v>361</v>
      </c>
      <c r="B17" t="s">
        <v>165</v>
      </c>
    </row>
    <row r="18" spans="1:2" x14ac:dyDescent="0.25">
      <c r="A18" s="3" t="s">
        <v>146</v>
      </c>
    </row>
    <row r="19" spans="1:2" x14ac:dyDescent="0.25">
      <c r="A19" s="3" t="s">
        <v>293</v>
      </c>
    </row>
    <row r="20" spans="1:2" x14ac:dyDescent="0.25">
      <c r="A20" s="3" t="s">
        <v>294</v>
      </c>
    </row>
    <row r="21" spans="1:2" x14ac:dyDescent="0.25">
      <c r="A21" s="3" t="s">
        <v>295</v>
      </c>
    </row>
    <row r="22" spans="1:2" x14ac:dyDescent="0.25">
      <c r="A22" t="s">
        <v>139</v>
      </c>
    </row>
    <row r="24" spans="1:2" s="27" customFormat="1" ht="21" x14ac:dyDescent="0.35">
      <c r="A24" s="26" t="s">
        <v>134</v>
      </c>
    </row>
    <row r="25" spans="1:2" x14ac:dyDescent="0.25">
      <c r="A25" t="s">
        <v>136</v>
      </c>
    </row>
    <row r="26" spans="1:2" x14ac:dyDescent="0.25">
      <c r="A26" t="s">
        <v>135</v>
      </c>
    </row>
    <row r="27" spans="1:2" x14ac:dyDescent="0.25">
      <c r="A27" t="s">
        <v>138</v>
      </c>
    </row>
    <row r="28" spans="1:2" x14ac:dyDescent="0.25">
      <c r="A28" t="s">
        <v>140</v>
      </c>
    </row>
    <row r="29" spans="1:2" x14ac:dyDescent="0.25">
      <c r="A29" t="s">
        <v>349</v>
      </c>
    </row>
    <row r="55" ht="378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Feature Summary</vt:lpstr>
      <vt:lpstr>Calculation</vt:lpstr>
      <vt:lpstr>Cell</vt:lpstr>
      <vt:lpstr>Workbook</vt:lpstr>
      <vt:lpstr>Headers</vt:lpstr>
      <vt:lpstr>Theming</vt:lpstr>
      <vt:lpstr>Drag</vt:lpstr>
      <vt:lpstr>Choosers</vt:lpstr>
      <vt:lpstr>Selection</vt:lpstr>
      <vt:lpstr>Developer</vt:lpstr>
      <vt:lpstr>Copy-Paste</vt:lpstr>
      <vt:lpstr>Tables</vt:lpstr>
      <vt:lpstr>Roadmap</vt:lpstr>
      <vt:lpstr>17.2B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Ford</dc:creator>
  <cp:lastModifiedBy>Michael Ford</cp:lastModifiedBy>
  <dcterms:created xsi:type="dcterms:W3CDTF">2015-06-05T18:17:20Z</dcterms:created>
  <dcterms:modified xsi:type="dcterms:W3CDTF">2026-10-30T03:41:48Z</dcterms:modified>
</cp:coreProperties>
</file>