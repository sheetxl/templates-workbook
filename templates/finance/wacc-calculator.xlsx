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emo\"/>
    </mc:Choice>
  </mc:AlternateContent>
  <xr:revisionPtr revIDLastSave="0" documentId="13_ncr:1_{A657937B-FE72-44F1-8559-E7237F571E79}" xr6:coauthVersionLast="47" xr6:coauthVersionMax="47" xr10:uidLastSave="{00000000-0000-0000-0000-000000000000}"/>
  <bookViews>
    <workbookView xWindow="-26595" yWindow="1980" windowWidth="27420" windowHeight="12255" xr2:uid="{5F1ED4BD-F4B9-457B-9C48-4FFC768BA210}"/>
  </bookViews>
  <sheets>
    <sheet name="WACC" sheetId="1" r:id="rId1"/>
  </sheets>
  <definedNames>
    <definedName name="_xlnm.Print_Area" localSheetId="0">WACC!$B$2:$M$55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8" i="1" l="1"/>
  <c r="C19" i="1" s="1"/>
  <c r="C20" i="1" s="1"/>
  <c r="C21" i="1" s="1"/>
  <c r="C22" i="1" s="1"/>
  <c r="C23" i="1" s="1"/>
  <c r="C24" i="1" s="1"/>
  <c r="C25" i="1" s="1"/>
  <c r="C26" i="1" s="1"/>
  <c r="C27" i="1" s="1"/>
  <c r="E16" i="1"/>
  <c r="F16" i="1" s="1"/>
  <c r="G16" i="1" s="1"/>
  <c r="H16" i="1" s="1"/>
  <c r="K38" i="1"/>
  <c r="G38" i="1"/>
  <c r="J37" i="1"/>
  <c r="L37" i="1" s="1"/>
  <c r="J36" i="1"/>
  <c r="L36" i="1" s="1"/>
  <c r="J35" i="1"/>
  <c r="L35" i="1" s="1"/>
  <c r="J34" i="1"/>
  <c r="L34" i="1" s="1"/>
  <c r="J33" i="1"/>
  <c r="D32" i="1"/>
  <c r="L9" i="1"/>
  <c r="L12" i="1" s="1"/>
  <c r="D7" i="1" s="1"/>
  <c r="L17" i="1" s="1"/>
  <c r="D9" i="1"/>
  <c r="H7" i="1"/>
  <c r="H8" i="1" s="1"/>
  <c r="L33" i="1" l="1"/>
  <c r="J38" i="1"/>
  <c r="L38" i="1" s="1"/>
  <c r="H12" i="1"/>
  <c r="D8" i="1"/>
  <c r="G40" i="1" l="1"/>
  <c r="D36" i="1" s="1"/>
  <c r="D37" i="1" s="1"/>
  <c r="D40" i="1" l="1"/>
  <c r="D6" i="1"/>
  <c r="L18" i="1" l="1"/>
  <c r="D12" i="1"/>
  <c r="C16" i="1" l="1"/>
  <c r="L19" i="1"/>
</calcChain>
</file>

<file path=xl/sharedStrings.xml><?xml version="1.0" encoding="utf-8"?>
<sst xmlns="http://schemas.openxmlformats.org/spreadsheetml/2006/main" count="59" uniqueCount="49">
  <si>
    <t>Notes</t>
  </si>
  <si>
    <t>WACC Calculator</t>
  </si>
  <si>
    <t xml:space="preserve">Equity </t>
  </si>
  <si>
    <t>%</t>
  </si>
  <si>
    <t>Debt</t>
  </si>
  <si>
    <t xml:space="preserve">Total </t>
  </si>
  <si>
    <t>Output</t>
  </si>
  <si>
    <t>Cost of Equity</t>
  </si>
  <si>
    <t>Cost of Debt</t>
  </si>
  <si>
    <t>Debt/Equity</t>
  </si>
  <si>
    <t>Debt Ratio</t>
  </si>
  <si>
    <t>Equity Ratio</t>
  </si>
  <si>
    <t>WACC</t>
  </si>
  <si>
    <t>Input</t>
  </si>
  <si>
    <t>Risk free rate</t>
  </si>
  <si>
    <t>Corporate rating</t>
  </si>
  <si>
    <t>AA</t>
  </si>
  <si>
    <t>Corporate risk premium</t>
  </si>
  <si>
    <t>Cost of Debt (Pre-tax)</t>
  </si>
  <si>
    <t>Corporate Tax Rate</t>
  </si>
  <si>
    <t>Market Premium</t>
  </si>
  <si>
    <t>Levered Beta</t>
  </si>
  <si>
    <t>Equity Risk Premium</t>
  </si>
  <si>
    <t>Beta Calculator</t>
  </si>
  <si>
    <t>Company</t>
  </si>
  <si>
    <t>Equity</t>
  </si>
  <si>
    <t>Tax Rate</t>
  </si>
  <si>
    <t>Unlevered Beta</t>
  </si>
  <si>
    <t>Company A</t>
  </si>
  <si>
    <t>Company B</t>
  </si>
  <si>
    <t>Company C</t>
  </si>
  <si>
    <t>Company D</t>
  </si>
  <si>
    <t>Company E</t>
  </si>
  <si>
    <t>Median</t>
  </si>
  <si>
    <t>*** unlevered beta= levered beta/(1+(1-tax rate)*D/E)</t>
  </si>
  <si>
    <t>Market Risk Premium *</t>
  </si>
  <si>
    <t>Country Risk Spread **</t>
  </si>
  <si>
    <t>Levered Beta ***</t>
  </si>
  <si>
    <t>* Data source</t>
  </si>
  <si>
    <t>** Data source</t>
  </si>
  <si>
    <t>https://pages.stern.nyu.edu/~adamodar/New_Home_Page/datafile/ctryprem.html</t>
  </si>
  <si>
    <t>D/E</t>
  </si>
  <si>
    <t>Cost of debt</t>
  </si>
  <si>
    <t>cost of equity</t>
  </si>
  <si>
    <t>Sensitivity</t>
  </si>
  <si>
    <t>Equity %</t>
  </si>
  <si>
    <t>1 Market Premium and Country spread are sourcing from Home Page of Aswath Damodaran - NYU Stern which has been done and</t>
  </si>
  <si>
    <t xml:space="preserve">   more data research maight be performed.</t>
  </si>
  <si>
    <t xml:space="preserve">   updated periodically by professor Damodaran. The data is mostly based on American industries. For specific industry of other economic area,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</si>
</sst>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0\ &quot;pb&quot;"/>
    <numFmt numFmtId="167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sz val="12"/>
      <color theme="0"/>
      <name val="Arial Narrow"/>
      <family val="2"/>
    </font>
    <font>
      <b/>
      <sz val="12"/>
      <color theme="0"/>
      <name val="Arial Narrow"/>
      <family val="2"/>
    </font>
    <font>
      <b/>
      <sz val="12"/>
      <color theme="1"/>
      <name val="Arial Narrow"/>
      <family val="2"/>
    </font>
    <font>
      <sz val="12"/>
      <name val="Arial Narrow"/>
      <family val="2"/>
    </font>
    <font>
      <sz val="12"/>
      <color rgb="FF409DAD"/>
      <name val="Arial Narrow"/>
      <family val="2"/>
    </font>
    <font>
      <b/>
      <sz val="12"/>
      <color rgb="FF409DAD"/>
      <name val="Arial Narrow"/>
      <family val="2"/>
    </font>
    <font>
      <sz val="12"/>
      <color theme="0" tint="-0.249977111117893"/>
      <name val="Arial Narrow"/>
      <family val="2"/>
    </font>
    <font>
      <b/>
      <sz val="12"/>
      <name val="Arial Narrow"/>
      <family val="2"/>
    </font>
    <font>
      <b/>
      <sz val="20"/>
      <color theme="0"/>
      <name val="Arial Narrow"/>
      <family val="2"/>
    </font>
    <font>
      <b/>
      <sz val="10"/>
      <name val="Arial Narrow"/>
      <family val="2"/>
    </font>
    <font>
      <sz val="10"/>
      <color rgb="FF409DAD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409DAD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09DAD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409DAD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37" fontId="3" fillId="0" borderId="0" xfId="0" applyNumberFormat="1" applyFont="1"/>
    <xf numFmtId="37" fontId="9" fillId="0" borderId="0" xfId="0" applyNumberFormat="1" applyFont="1"/>
    <xf numFmtId="37" fontId="7" fillId="2" borderId="0" xfId="0" applyNumberFormat="1" applyFont="1" applyFill="1" applyAlignment="1">
      <alignment vertical="top"/>
    </xf>
    <xf numFmtId="37" fontId="8" fillId="2" borderId="0" xfId="0" applyNumberFormat="1" applyFont="1" applyFill="1" applyAlignment="1">
      <alignment vertical="top"/>
    </xf>
    <xf numFmtId="37" fontId="7" fillId="2" borderId="0" xfId="0" applyNumberFormat="1" applyFont="1" applyFill="1" applyAlignment="1">
      <alignment horizontal="right" vertical="top"/>
    </xf>
    <xf numFmtId="37" fontId="3" fillId="0" borderId="0" xfId="0" applyNumberFormat="1" applyFont="1" applyAlignment="1">
      <alignment horizontal="right"/>
    </xf>
    <xf numFmtId="37" fontId="12" fillId="0" borderId="0" xfId="0" applyNumberFormat="1" applyFont="1"/>
    <xf numFmtId="0" fontId="13" fillId="0" borderId="0" xfId="0" applyFont="1"/>
    <xf numFmtId="37" fontId="10" fillId="0" borderId="0" xfId="0" applyNumberFormat="1" applyFont="1"/>
    <xf numFmtId="0" fontId="9" fillId="0" borderId="0" xfId="0" applyFont="1"/>
    <xf numFmtId="164" fontId="3" fillId="0" borderId="0" xfId="1" applyFont="1"/>
    <xf numFmtId="0" fontId="12" fillId="0" borderId="0" xfId="0" applyFont="1"/>
    <xf numFmtId="0" fontId="10" fillId="0" borderId="0" xfId="0" applyFont="1"/>
    <xf numFmtId="37" fontId="15" fillId="2" borderId="0" xfId="0" applyNumberFormat="1" applyFont="1" applyFill="1" applyAlignment="1">
      <alignment vertical="center"/>
    </xf>
    <xf numFmtId="0" fontId="3" fillId="0" borderId="1" xfId="0" applyFont="1" applyBorder="1"/>
    <xf numFmtId="165" fontId="3" fillId="0" borderId="0" xfId="2" applyNumberFormat="1" applyFont="1"/>
    <xf numFmtId="10" fontId="3" fillId="0" borderId="0" xfId="2" applyNumberFormat="1" applyFont="1"/>
    <xf numFmtId="10" fontId="11" fillId="0" borderId="0" xfId="2" applyNumberFormat="1" applyFont="1"/>
    <xf numFmtId="37" fontId="14" fillId="0" borderId="0" xfId="0" applyNumberFormat="1" applyFont="1"/>
    <xf numFmtId="10" fontId="9" fillId="0" borderId="0" xfId="2" applyNumberFormat="1" applyFont="1"/>
    <xf numFmtId="37" fontId="8" fillId="2" borderId="0" xfId="0" applyNumberFormat="1" applyFont="1" applyFill="1"/>
    <xf numFmtId="37" fontId="7" fillId="2" borderId="0" xfId="0" applyNumberFormat="1" applyFont="1" applyFill="1"/>
    <xf numFmtId="10" fontId="10" fillId="0" borderId="0" xfId="2" applyNumberFormat="1" applyFont="1"/>
    <xf numFmtId="10" fontId="14" fillId="0" borderId="0" xfId="2" applyNumberFormat="1" applyFont="1"/>
    <xf numFmtId="166" fontId="11" fillId="0" borderId="0" xfId="0" applyNumberFormat="1" applyFont="1"/>
    <xf numFmtId="10" fontId="11" fillId="0" borderId="0" xfId="2" applyNumberFormat="1" applyFont="1" applyAlignment="1">
      <alignment horizontal="right"/>
    </xf>
    <xf numFmtId="9" fontId="11" fillId="0" borderId="0" xfId="2" applyFont="1"/>
    <xf numFmtId="37" fontId="8" fillId="3" borderId="0" xfId="0" applyNumberFormat="1" applyFont="1" applyFill="1"/>
    <xf numFmtId="10" fontId="8" fillId="3" borderId="0" xfId="2" applyNumberFormat="1" applyFont="1" applyFill="1"/>
    <xf numFmtId="0" fontId="4" fillId="0" borderId="0" xfId="0" applyFont="1" applyAlignment="1">
      <alignment vertical="top"/>
    </xf>
    <xf numFmtId="10" fontId="6" fillId="0" borderId="0" xfId="2" applyNumberFormat="1" applyFont="1" applyFill="1" applyAlignment="1">
      <alignment horizontal="right" vertical="top"/>
    </xf>
    <xf numFmtId="2" fontId="6" fillId="0" borderId="0" xfId="0" applyNumberFormat="1" applyFont="1" applyAlignment="1">
      <alignment horizontal="right" vertical="top"/>
    </xf>
    <xf numFmtId="0" fontId="4" fillId="0" borderId="2" xfId="0" applyFont="1" applyBorder="1" applyAlignment="1">
      <alignment vertical="top"/>
    </xf>
    <xf numFmtId="10" fontId="6" fillId="0" borderId="2" xfId="2" applyNumberFormat="1" applyFont="1" applyFill="1" applyBorder="1" applyAlignment="1">
      <alignment horizontal="right" vertical="top"/>
    </xf>
    <xf numFmtId="2" fontId="6" fillId="0" borderId="2" xfId="0" applyNumberFormat="1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16" fillId="0" borderId="0" xfId="0" applyFont="1" applyAlignment="1">
      <alignment vertical="top"/>
    </xf>
    <xf numFmtId="10" fontId="16" fillId="0" borderId="0" xfId="2" applyNumberFormat="1" applyFont="1" applyFill="1" applyAlignment="1">
      <alignment vertical="top"/>
    </xf>
    <xf numFmtId="0" fontId="17" fillId="0" borderId="0" xfId="0" applyFont="1" applyAlignment="1">
      <alignment horizontal="right" vertical="top"/>
    </xf>
    <xf numFmtId="167" fontId="17" fillId="0" borderId="0" xfId="1" applyNumberFormat="1" applyFont="1" applyFill="1" applyAlignment="1">
      <alignment horizontal="right" vertical="top"/>
    </xf>
    <xf numFmtId="0" fontId="17" fillId="0" borderId="2" xfId="0" applyFont="1" applyBorder="1" applyAlignment="1">
      <alignment horizontal="right" vertical="top"/>
    </xf>
    <xf numFmtId="167" fontId="17" fillId="0" borderId="2" xfId="1" applyNumberFormat="1" applyFont="1" applyFill="1" applyBorder="1" applyAlignment="1">
      <alignment horizontal="right" vertical="top"/>
    </xf>
    <xf numFmtId="9" fontId="17" fillId="0" borderId="0" xfId="0" applyNumberFormat="1" applyFont="1" applyAlignment="1">
      <alignment horizontal="right" vertical="top"/>
    </xf>
    <xf numFmtId="9" fontId="17" fillId="0" borderId="2" xfId="0" applyNumberFormat="1" applyFont="1" applyBorder="1" applyAlignment="1">
      <alignment horizontal="right" vertical="top"/>
    </xf>
    <xf numFmtId="37" fontId="12" fillId="0" borderId="3" xfId="0" applyNumberFormat="1" applyFont="1" applyBorder="1" applyAlignment="1">
      <alignment horizontal="right"/>
    </xf>
    <xf numFmtId="37" fontId="12" fillId="0" borderId="3" xfId="0" applyNumberFormat="1" applyFont="1" applyBorder="1" applyAlignment="1">
      <alignment horizontal="left"/>
    </xf>
    <xf numFmtId="2" fontId="16" fillId="0" borderId="0" xfId="0" applyNumberFormat="1" applyFont="1" applyAlignment="1">
      <alignment horizontal="right" vertical="top"/>
    </xf>
    <xf numFmtId="37" fontId="9" fillId="0" borderId="0" xfId="0" applyNumberFormat="1" applyFont="1" applyAlignment="1">
      <alignment horizontal="right"/>
    </xf>
    <xf numFmtId="10" fontId="12" fillId="0" borderId="0" xfId="2" applyNumberFormat="1" applyFont="1"/>
    <xf numFmtId="10" fontId="9" fillId="0" borderId="0" xfId="2" applyNumberFormat="1" applyFont="1" applyFill="1"/>
    <xf numFmtId="164" fontId="8" fillId="3" borderId="0" xfId="1" applyFont="1" applyFill="1"/>
    <xf numFmtId="164" fontId="7" fillId="4" borderId="0" xfId="1" applyFont="1" applyFill="1"/>
    <xf numFmtId="0" fontId="7" fillId="2" borderId="0" xfId="0" applyFont="1" applyFill="1"/>
    <xf numFmtId="9" fontId="14" fillId="0" borderId="2" xfId="2" applyFont="1" applyBorder="1"/>
    <xf numFmtId="165" fontId="14" fillId="0" borderId="2" xfId="2" applyNumberFormat="1" applyFont="1" applyBorder="1"/>
    <xf numFmtId="165" fontId="7" fillId="0" borderId="0" xfId="2" applyNumberFormat="1" applyFont="1"/>
    <xf numFmtId="165" fontId="14" fillId="0" borderId="4" xfId="2" applyNumberFormat="1" applyFont="1" applyBorder="1"/>
    <xf numFmtId="0" fontId="8" fillId="2" borderId="0" xfId="0" applyFont="1" applyFill="1" applyAlignment="1">
      <alignment horizontal="center" vertical="center"/>
    </xf>
    <xf numFmtId="37" fontId="8" fillId="2" borderId="0" xfId="0" applyNumberFormat="1" applyFont="1" applyFill="1" applyAlignment="1">
      <alignment horizontal="center"/>
    </xf>
  </cellXfs>
  <cellStyles count="4">
    <cellStyle name="Comma" xfId="1" builtinId="3"/>
    <cellStyle name="Comma 2" xfId="3" xr:uid="{AE89FF1C-3620-46CA-B465-02E5DC26448E}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409DAD"/>
      <color rgb="FF4490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09DAD">
                <a:alpha val="8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WACC!$K$17:$K$19</c:f>
              <c:strCache>
                <c:ptCount val="3"/>
                <c:pt idx="0">
                  <c:v>Cost of debt</c:v>
                </c:pt>
                <c:pt idx="1">
                  <c:v>cost of equity</c:v>
                </c:pt>
                <c:pt idx="2">
                  <c:v>WACC</c:v>
                </c:pt>
              </c:strCache>
            </c:strRef>
          </c:cat>
          <c:val>
            <c:numRef>
              <c:f>WACC!$L$17:$L$19</c:f>
              <c:numCache>
                <c:formatCode>0.0%</c:formatCode>
                <c:ptCount val="3"/>
                <c:pt idx="0">
                  <c:v>4.2250000000000003E-2</c:v>
                </c:pt>
                <c:pt idx="1">
                  <c:v>8.3442961165048554E-2</c:v>
                </c:pt>
                <c:pt idx="2">
                  <c:v>6.6965776699029131E-2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5-4758-89CC-7F1E3D3777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42"/>
        <c:overlap val="-27"/>
        <c:axId val="580121023"/>
        <c:axId val="599184543"/>
      </c:barChart>
      <c:catAx>
        <c:axId val="58012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184543"/>
        <c:crosses val="autoZero"/>
        <c:auto val="1"/>
        <c:lblAlgn val="ctr"/>
        <c:lblOffset val="100"/>
        <c:noMultiLvlLbl val="0"/>
      </c:catAx>
      <c:valAx>
        <c:axId val="599184543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012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613833</xdr:colOff>
      <xdr:row>14</xdr:row>
      <xdr:rowOff>88899</xdr:rowOff>
    </xdr:from>
    <xdr:to>
      <xdr:col>12</xdr:col>
      <xdr:colOff>804333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CAD456-76C4-A46E-A13E-E772BC0FD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7009-C408-4665-A45C-97E71EAEAA3F}">
  <sheetPr>
    <pageSetUpPr fitToPage="1"/>
  </sheetPr>
  <dimension ref="A1:U51"/>
  <sheetViews>
    <sheetView showGridLines="0" tabSelected="1" topLeftCell="B1" zoomScale="70" zoomScaleNormal="70" workbookViewId="0">
      <selection activeCell="P14" sqref="P14"/>
    </sheetView>
  </sheetViews>
  <sheetFormatPr defaultColWidth="11.42578125" defaultRowHeight="15.75" x14ac:dyDescent="0.25"/>
  <cols>
    <col min="1" max="1" width="11.42578125" style="9"/>
    <col min="2" max="2" width="17.140625" style="1" customWidth="1"/>
    <col min="3" max="3" width="9.5703125" style="1" customWidth="1"/>
    <col min="4" max="4" width="13.5703125" style="1" customWidth="1"/>
    <col min="5" max="5" width="11.42578125" style="1"/>
    <col min="6" max="9" width="14.5703125" style="1" customWidth="1"/>
    <col min="10" max="10" width="21.85546875" style="1" customWidth="1"/>
    <col min="11" max="13" width="14.5703125" style="1" customWidth="1"/>
    <col min="14" max="16384" width="11.42578125" style="1"/>
  </cols>
  <sheetData>
    <row r="1" spans="2:13" x14ac:dyDescent="0.25">
      <c r="B1" s="9"/>
      <c r="C1" s="9"/>
    </row>
    <row r="2" spans="2:13" ht="25.5" x14ac:dyDescent="0.25">
      <c r="B2" s="15" t="s">
        <v>1</v>
      </c>
      <c r="C2" s="5"/>
      <c r="D2" s="4"/>
      <c r="E2" s="4"/>
      <c r="F2" s="6"/>
      <c r="G2" s="4"/>
      <c r="H2" s="4"/>
      <c r="I2" s="4"/>
      <c r="J2" s="4"/>
      <c r="K2" s="4"/>
      <c r="L2" s="6"/>
      <c r="M2" s="6"/>
    </row>
    <row r="3" spans="2:13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2:13" x14ac:dyDescent="0.25">
      <c r="E4" s="2"/>
      <c r="F4" s="2"/>
      <c r="G4" s="2"/>
      <c r="H4" s="2"/>
      <c r="I4" s="2"/>
      <c r="J4" s="2"/>
      <c r="K4" s="2"/>
      <c r="L4" s="2"/>
    </row>
    <row r="5" spans="2:13" x14ac:dyDescent="0.25">
      <c r="B5" s="22" t="s">
        <v>6</v>
      </c>
      <c r="C5" s="23"/>
      <c r="D5" s="23"/>
      <c r="E5" s="2"/>
      <c r="F5" s="22" t="s">
        <v>13</v>
      </c>
      <c r="G5" s="23"/>
      <c r="H5" s="23"/>
      <c r="I5" s="2"/>
      <c r="J5" s="22" t="s">
        <v>8</v>
      </c>
      <c r="K5" s="23"/>
      <c r="L5" s="23"/>
    </row>
    <row r="6" spans="2:13" x14ac:dyDescent="0.25">
      <c r="B6" s="14" t="s">
        <v>7</v>
      </c>
      <c r="C6" s="14"/>
      <c r="D6" s="24">
        <f>+D37</f>
        <v>8.3442961165048554E-2</v>
      </c>
      <c r="E6" s="2"/>
      <c r="F6" s="10" t="s">
        <v>2</v>
      </c>
      <c r="G6" s="2" t="s">
        <v>3</v>
      </c>
      <c r="H6" s="19">
        <v>0.6</v>
      </c>
      <c r="I6" s="2"/>
      <c r="J6" s="10" t="s">
        <v>14</v>
      </c>
      <c r="K6" s="7"/>
      <c r="L6" s="28">
        <v>2.5000000000000001E-2</v>
      </c>
    </row>
    <row r="7" spans="2:13" x14ac:dyDescent="0.25">
      <c r="B7" s="14" t="s">
        <v>8</v>
      </c>
      <c r="C7" s="14"/>
      <c r="D7" s="24">
        <f>+L12</f>
        <v>4.2250000000000003E-2</v>
      </c>
      <c r="E7" s="2"/>
      <c r="F7" s="10" t="s">
        <v>4</v>
      </c>
      <c r="G7" s="2" t="s">
        <v>3</v>
      </c>
      <c r="H7" s="18">
        <f>1-H6</f>
        <v>0.4</v>
      </c>
      <c r="I7" s="2"/>
      <c r="J7" s="10" t="s">
        <v>15</v>
      </c>
      <c r="K7" s="2"/>
      <c r="L7" s="27" t="s">
        <v>16</v>
      </c>
    </row>
    <row r="8" spans="2:13" x14ac:dyDescent="0.25">
      <c r="B8" s="14" t="s">
        <v>10</v>
      </c>
      <c r="C8" s="14"/>
      <c r="D8" s="24">
        <f>+H7</f>
        <v>0.4</v>
      </c>
      <c r="E8" s="2"/>
      <c r="F8" s="20" t="s">
        <v>5</v>
      </c>
      <c r="G8" s="3"/>
      <c r="H8" s="51">
        <f>+H6+H7</f>
        <v>1</v>
      </c>
      <c r="I8" s="2"/>
      <c r="J8" s="1" t="s">
        <v>17</v>
      </c>
      <c r="L8" s="26">
        <v>400</v>
      </c>
    </row>
    <row r="9" spans="2:13" x14ac:dyDescent="0.25">
      <c r="B9" s="10" t="s">
        <v>11</v>
      </c>
      <c r="C9" s="10"/>
      <c r="D9" s="24">
        <f>+H6</f>
        <v>0.6</v>
      </c>
      <c r="E9" s="2"/>
      <c r="F9" s="2"/>
      <c r="G9" s="2"/>
      <c r="H9" s="2"/>
      <c r="I9" s="2"/>
      <c r="J9" s="11" t="s">
        <v>18</v>
      </c>
      <c r="K9" s="11"/>
      <c r="L9" s="21">
        <f>+L6+L8/10000</f>
        <v>6.5000000000000002E-2</v>
      </c>
    </row>
    <row r="10" spans="2:13" x14ac:dyDescent="0.25">
      <c r="B10" s="8"/>
      <c r="C10" s="2"/>
      <c r="D10" s="18"/>
      <c r="E10" s="2"/>
      <c r="I10" s="2"/>
    </row>
    <row r="11" spans="2:13" x14ac:dyDescent="0.25">
      <c r="J11" s="2" t="s">
        <v>19</v>
      </c>
      <c r="K11" s="2"/>
      <c r="L11" s="28">
        <v>0.35</v>
      </c>
    </row>
    <row r="12" spans="2:13" x14ac:dyDescent="0.25">
      <c r="B12" s="29" t="s">
        <v>12</v>
      </c>
      <c r="C12" s="29"/>
      <c r="D12" s="30">
        <f>+D6*D9+D7*D8</f>
        <v>6.6965776699029131E-2</v>
      </c>
      <c r="E12" s="2"/>
      <c r="F12" s="29" t="s">
        <v>41</v>
      </c>
      <c r="G12" s="29"/>
      <c r="H12" s="52">
        <f>+H7/H6</f>
        <v>0.66666666666666674</v>
      </c>
      <c r="I12" s="2"/>
      <c r="J12" s="29" t="s">
        <v>8</v>
      </c>
      <c r="K12" s="29"/>
      <c r="L12" s="30">
        <f>+L9*(1-L11)</f>
        <v>4.2250000000000003E-2</v>
      </c>
    </row>
    <row r="14" spans="2:13" x14ac:dyDescent="0.25">
      <c r="B14" s="8"/>
      <c r="C14" s="2"/>
      <c r="D14" s="2"/>
      <c r="E14" s="2"/>
      <c r="F14" s="2"/>
      <c r="G14" s="2"/>
      <c r="H14" s="2"/>
      <c r="I14" s="2"/>
    </row>
    <row r="15" spans="2:13" x14ac:dyDescent="0.25">
      <c r="B15" s="22" t="s">
        <v>44</v>
      </c>
      <c r="C15" s="60" t="s">
        <v>20</v>
      </c>
      <c r="D15" s="60"/>
      <c r="E15" s="60"/>
      <c r="F15" s="60"/>
      <c r="G15" s="60"/>
      <c r="H15" s="60"/>
      <c r="I15" s="2"/>
      <c r="J15" s="2"/>
      <c r="K15" s="2"/>
      <c r="L15" s="2"/>
    </row>
    <row r="16" spans="2:13" x14ac:dyDescent="0.25">
      <c r="B16" s="54"/>
      <c r="C16" s="57">
        <f>+D12</f>
        <v>6.6965776699029131E-2</v>
      </c>
      <c r="D16" s="55">
        <v>0.06</v>
      </c>
      <c r="E16" s="56">
        <f>+D16+0.5%</f>
        <v>6.5000000000000002E-2</v>
      </c>
      <c r="F16" s="56">
        <f t="shared" ref="F16:H16" si="0">+E16+0.5%</f>
        <v>7.0000000000000007E-2</v>
      </c>
      <c r="G16" s="56">
        <f t="shared" si="0"/>
        <v>7.5000000000000011E-2</v>
      </c>
      <c r="H16" s="56">
        <f t="shared" si="0"/>
        <v>8.0000000000000016E-2</v>
      </c>
      <c r="I16" s="2"/>
      <c r="J16" s="2"/>
      <c r="K16" s="2"/>
      <c r="L16" s="2"/>
    </row>
    <row r="17" spans="2:21" x14ac:dyDescent="0.25">
      <c r="B17" s="59" t="s">
        <v>45</v>
      </c>
      <c r="C17" s="58">
        <v>0.05</v>
      </c>
      <c r="D17" s="24">
        <v>7.6007524271844651E-2</v>
      </c>
      <c r="E17" s="24">
        <v>7.8996692961165044E-2</v>
      </c>
      <c r="F17" s="24">
        <v>8.1985861650485437E-2</v>
      </c>
      <c r="G17" s="24">
        <v>8.4975030339805829E-2</v>
      </c>
      <c r="H17" s="24">
        <v>8.7964199029126222E-2</v>
      </c>
      <c r="I17" s="2"/>
      <c r="J17" s="2"/>
      <c r="K17" s="2" t="s">
        <v>42</v>
      </c>
      <c r="L17" s="17">
        <f>+D7</f>
        <v>4.2250000000000003E-2</v>
      </c>
    </row>
    <row r="18" spans="2:21" x14ac:dyDescent="0.25">
      <c r="B18" s="59"/>
      <c r="C18" s="58">
        <f>+C17+5%</f>
        <v>0.1</v>
      </c>
      <c r="D18" s="24">
        <v>7.4835436893203905E-2</v>
      </c>
      <c r="E18" s="24">
        <v>7.7902973300970887E-2</v>
      </c>
      <c r="F18" s="24">
        <v>8.0970509708737884E-2</v>
      </c>
      <c r="G18" s="24">
        <v>8.4038046116504866E-2</v>
      </c>
      <c r="H18" s="24">
        <v>8.7105582524271863E-2</v>
      </c>
      <c r="I18" s="2"/>
      <c r="J18" s="2"/>
      <c r="K18" s="2" t="s">
        <v>43</v>
      </c>
      <c r="L18" s="17">
        <f>+D6</f>
        <v>8.3442961165048554E-2</v>
      </c>
    </row>
    <row r="19" spans="2:21" x14ac:dyDescent="0.25">
      <c r="B19" s="59"/>
      <c r="C19" s="58">
        <f t="shared" ref="C19:C27" si="1">+C18+10%</f>
        <v>0.2</v>
      </c>
      <c r="D19" s="24">
        <v>7.249126213592233E-2</v>
      </c>
      <c r="E19" s="24">
        <v>7.5715533980582533E-2</v>
      </c>
      <c r="F19" s="24">
        <v>7.8939805825242737E-2</v>
      </c>
      <c r="G19" s="24">
        <v>8.2164077669902941E-2</v>
      </c>
      <c r="H19" s="24">
        <v>8.538834951456313E-2</v>
      </c>
      <c r="I19" s="2"/>
      <c r="J19" s="2"/>
      <c r="K19" s="2" t="s">
        <v>12</v>
      </c>
      <c r="L19" s="17">
        <f>+D12</f>
        <v>6.6965776699029131E-2</v>
      </c>
    </row>
    <row r="20" spans="2:21" x14ac:dyDescent="0.25">
      <c r="B20" s="59"/>
      <c r="C20" s="58">
        <f t="shared" si="1"/>
        <v>0.30000000000000004</v>
      </c>
      <c r="D20" s="24">
        <v>7.0147087378640782E-2</v>
      </c>
      <c r="E20" s="24">
        <v>7.3528094660194179E-2</v>
      </c>
      <c r="F20" s="24">
        <v>7.690910194174759E-2</v>
      </c>
      <c r="G20" s="24">
        <v>8.0290109223300987E-2</v>
      </c>
      <c r="H20" s="24">
        <v>8.3671116504854398E-2</v>
      </c>
      <c r="I20" s="2"/>
      <c r="J20" s="2"/>
      <c r="K20" s="2"/>
      <c r="L20" s="2"/>
    </row>
    <row r="21" spans="2:21" x14ac:dyDescent="0.25">
      <c r="B21" s="59"/>
      <c r="C21" s="58">
        <f t="shared" si="1"/>
        <v>0.4</v>
      </c>
      <c r="D21" s="24">
        <v>6.7802912621359221E-2</v>
      </c>
      <c r="E21" s="24">
        <v>7.1340655339805825E-2</v>
      </c>
      <c r="F21" s="24">
        <v>7.4878398058252429E-2</v>
      </c>
      <c r="G21" s="24">
        <v>7.8416140776699034E-2</v>
      </c>
      <c r="H21" s="24">
        <v>8.1953883495145652E-2</v>
      </c>
      <c r="I21" s="2"/>
      <c r="J21" s="2"/>
      <c r="K21" s="2"/>
      <c r="L21" s="2"/>
    </row>
    <row r="22" spans="2:21" x14ac:dyDescent="0.25">
      <c r="B22" s="59"/>
      <c r="C22" s="58">
        <f t="shared" si="1"/>
        <v>0.5</v>
      </c>
      <c r="D22" s="24">
        <v>6.5458737864077673E-2</v>
      </c>
      <c r="E22" s="24">
        <v>6.9153216019417485E-2</v>
      </c>
      <c r="F22" s="24">
        <v>7.2847694174757296E-2</v>
      </c>
      <c r="G22" s="24">
        <v>7.6542172330097094E-2</v>
      </c>
      <c r="H22" s="24">
        <v>8.0236650485436906E-2</v>
      </c>
      <c r="I22" s="2"/>
      <c r="J22" s="2"/>
      <c r="K22" s="2"/>
      <c r="L22" s="2"/>
    </row>
    <row r="23" spans="2:21" x14ac:dyDescent="0.25">
      <c r="B23" s="59"/>
      <c r="C23" s="58">
        <f t="shared" si="1"/>
        <v>0.6</v>
      </c>
      <c r="D23" s="24">
        <v>6.3114563106796112E-2</v>
      </c>
      <c r="E23" s="24">
        <v>6.6965776699029131E-2</v>
      </c>
      <c r="F23" s="24">
        <v>7.081699029126215E-2</v>
      </c>
      <c r="G23" s="24">
        <v>7.4668203883495154E-2</v>
      </c>
      <c r="H23" s="24">
        <v>7.8519417475728173E-2</v>
      </c>
      <c r="I23" s="2"/>
      <c r="J23" s="2"/>
      <c r="K23" s="2"/>
      <c r="L23" s="2"/>
    </row>
    <row r="24" spans="2:21" x14ac:dyDescent="0.25">
      <c r="B24" s="59"/>
      <c r="C24" s="58">
        <f t="shared" si="1"/>
        <v>0.7</v>
      </c>
      <c r="D24" s="24">
        <v>6.0770388349514565E-2</v>
      </c>
      <c r="E24" s="24">
        <v>6.4778337378640791E-2</v>
      </c>
      <c r="F24" s="24">
        <v>6.8786286407767003E-2</v>
      </c>
      <c r="G24" s="24">
        <v>7.2794235436893215E-2</v>
      </c>
      <c r="H24" s="24">
        <v>7.6802184466019441E-2</v>
      </c>
      <c r="I24" s="2"/>
      <c r="J24" s="2"/>
      <c r="K24" s="2"/>
      <c r="L24" s="2"/>
    </row>
    <row r="25" spans="2:21" x14ac:dyDescent="0.25">
      <c r="B25" s="59"/>
      <c r="C25" s="58">
        <f t="shared" si="1"/>
        <v>0.79999999999999993</v>
      </c>
      <c r="D25" s="24">
        <v>5.8426213592233017E-2</v>
      </c>
      <c r="E25" s="24">
        <v>6.2590898058252437E-2</v>
      </c>
      <c r="F25" s="24">
        <v>6.6755582524271856E-2</v>
      </c>
      <c r="G25" s="24">
        <v>7.0920266990291275E-2</v>
      </c>
      <c r="H25" s="24">
        <v>7.5084951456310695E-2</v>
      </c>
      <c r="I25" s="2"/>
      <c r="J25" s="2"/>
      <c r="K25" s="2"/>
      <c r="L25" s="2"/>
    </row>
    <row r="26" spans="2:21" x14ac:dyDescent="0.25">
      <c r="B26" s="59"/>
      <c r="C26" s="58">
        <f t="shared" si="1"/>
        <v>0.89999999999999991</v>
      </c>
      <c r="D26" s="24">
        <v>5.608203883495147E-2</v>
      </c>
      <c r="E26" s="24">
        <v>6.0403458737864096E-2</v>
      </c>
      <c r="F26" s="24">
        <v>6.4724878640776723E-2</v>
      </c>
      <c r="G26" s="24">
        <v>6.9046298543689349E-2</v>
      </c>
      <c r="H26" s="24">
        <v>7.3367718446601976E-2</v>
      </c>
      <c r="I26" s="2"/>
      <c r="J26" s="2"/>
      <c r="K26" s="2"/>
      <c r="L26" s="2"/>
    </row>
    <row r="27" spans="2:21" x14ac:dyDescent="0.25">
      <c r="B27" s="59"/>
      <c r="C27" s="58">
        <f t="shared" si="1"/>
        <v>0.99999999999999989</v>
      </c>
      <c r="D27" s="24">
        <v>5.3737864077669895E-2</v>
      </c>
      <c r="E27" s="24">
        <v>5.8216019417475728E-2</v>
      </c>
      <c r="F27" s="24">
        <v>6.2694174757281548E-2</v>
      </c>
      <c r="G27" s="24">
        <v>6.7172330097087382E-2</v>
      </c>
      <c r="H27" s="24">
        <v>7.1650485436893202E-2</v>
      </c>
      <c r="I27" s="2"/>
      <c r="J27" s="2"/>
      <c r="K27" s="2"/>
      <c r="L27" s="2"/>
    </row>
    <row r="28" spans="2:21" x14ac:dyDescent="0.25">
      <c r="B28" s="8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2:21" x14ac:dyDescent="0.25">
      <c r="B29" s="8"/>
      <c r="C29" s="2"/>
      <c r="D29" s="2"/>
      <c r="E29" s="2"/>
      <c r="F29" s="2"/>
      <c r="G29" s="2"/>
      <c r="H29" s="2"/>
      <c r="I29" s="2"/>
      <c r="J29" s="2"/>
      <c r="K29" s="2"/>
      <c r="L29" s="2"/>
      <c r="P29" s="2"/>
      <c r="Q29" s="2"/>
      <c r="R29" s="2"/>
      <c r="S29" s="2"/>
      <c r="T29" s="2"/>
      <c r="U29" s="2"/>
    </row>
    <row r="30" spans="2:21" x14ac:dyDescent="0.25"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P30" s="2"/>
      <c r="Q30" s="2"/>
      <c r="R30" s="2"/>
      <c r="S30" s="2"/>
      <c r="T30" s="2"/>
      <c r="U30" s="2"/>
    </row>
    <row r="31" spans="2:21" x14ac:dyDescent="0.25">
      <c r="B31" s="22" t="s">
        <v>7</v>
      </c>
      <c r="C31" s="23"/>
      <c r="D31" s="23"/>
      <c r="F31" s="22" t="s">
        <v>23</v>
      </c>
      <c r="G31" s="22"/>
      <c r="H31" s="22"/>
      <c r="I31" s="22"/>
      <c r="J31" s="22"/>
      <c r="K31" s="22"/>
      <c r="L31" s="22"/>
      <c r="P31" s="2"/>
      <c r="Q31" s="2"/>
      <c r="R31" s="2"/>
      <c r="S31" s="2"/>
      <c r="T31" s="2"/>
      <c r="U31" s="2"/>
    </row>
    <row r="32" spans="2:21" x14ac:dyDescent="0.25">
      <c r="B32" s="20" t="s">
        <v>14</v>
      </c>
      <c r="C32" s="49"/>
      <c r="D32" s="50">
        <f>+L6</f>
        <v>2.5000000000000001E-2</v>
      </c>
      <c r="F32" s="47" t="s">
        <v>24</v>
      </c>
      <c r="G32" s="46" t="s">
        <v>21</v>
      </c>
      <c r="H32" s="46" t="s">
        <v>4</v>
      </c>
      <c r="I32" s="46" t="s">
        <v>25</v>
      </c>
      <c r="J32" s="46" t="s">
        <v>9</v>
      </c>
      <c r="K32" s="46" t="s">
        <v>26</v>
      </c>
      <c r="L32" s="46" t="s">
        <v>27</v>
      </c>
      <c r="P32" s="2"/>
      <c r="Q32" s="2"/>
      <c r="R32" s="2"/>
      <c r="S32" s="2"/>
      <c r="T32" s="2"/>
      <c r="U32" s="2"/>
    </row>
    <row r="33" spans="2:12" x14ac:dyDescent="0.25">
      <c r="F33" s="31" t="s">
        <v>28</v>
      </c>
      <c r="G33" s="40">
        <v>1.23</v>
      </c>
      <c r="H33" s="41">
        <v>520</v>
      </c>
      <c r="I33" s="41">
        <v>1125</v>
      </c>
      <c r="J33" s="32">
        <f>H33/I33</f>
        <v>0.4622222222222222</v>
      </c>
      <c r="K33" s="44">
        <v>0.31</v>
      </c>
      <c r="L33" s="33">
        <f>G33/((1+(1-K33)*J33))</f>
        <v>0.93257177517185608</v>
      </c>
    </row>
    <row r="34" spans="2:12" x14ac:dyDescent="0.25">
      <c r="B34" s="10" t="s">
        <v>35</v>
      </c>
      <c r="C34" s="2"/>
      <c r="D34" s="27">
        <v>6.5000000000000002E-2</v>
      </c>
      <c r="F34" s="31" t="s">
        <v>29</v>
      </c>
      <c r="G34" s="40">
        <v>1.31</v>
      </c>
      <c r="H34" s="41">
        <v>500</v>
      </c>
      <c r="I34" s="41">
        <v>868</v>
      </c>
      <c r="J34" s="32">
        <f t="shared" ref="J34:J37" si="2">H34/I34</f>
        <v>0.57603686635944695</v>
      </c>
      <c r="K34" s="44">
        <v>0.3</v>
      </c>
      <c r="L34" s="33">
        <f t="shared" ref="L34:L37" si="3">G34/((1+(1-K34)*J34))</f>
        <v>0.93356321839080469</v>
      </c>
    </row>
    <row r="35" spans="2:12" x14ac:dyDescent="0.25">
      <c r="B35" s="1" t="s">
        <v>36</v>
      </c>
      <c r="D35" s="19">
        <v>0</v>
      </c>
      <c r="F35" s="31" t="s">
        <v>30</v>
      </c>
      <c r="G35" s="40">
        <v>1.1499999999999999</v>
      </c>
      <c r="H35" s="41">
        <v>460</v>
      </c>
      <c r="I35" s="41">
        <v>787.5</v>
      </c>
      <c r="J35" s="32">
        <f t="shared" si="2"/>
        <v>0.58412698412698416</v>
      </c>
      <c r="K35" s="44">
        <v>0.28999999999999998</v>
      </c>
      <c r="L35" s="33">
        <f t="shared" si="3"/>
        <v>0.81287586392603883</v>
      </c>
    </row>
    <row r="36" spans="2:12" x14ac:dyDescent="0.25">
      <c r="B36" s="1" t="s">
        <v>37</v>
      </c>
      <c r="D36" s="12">
        <f>+G40</f>
        <v>1.28373786407767</v>
      </c>
      <c r="F36" s="31" t="s">
        <v>31</v>
      </c>
      <c r="G36" s="40">
        <v>1.1200000000000001</v>
      </c>
      <c r="H36" s="41">
        <v>600</v>
      </c>
      <c r="I36" s="41">
        <v>1125</v>
      </c>
      <c r="J36" s="32">
        <f t="shared" si="2"/>
        <v>0.53333333333333333</v>
      </c>
      <c r="K36" s="44">
        <v>0.33</v>
      </c>
      <c r="L36" s="33">
        <f t="shared" si="3"/>
        <v>0.82514734774066811</v>
      </c>
    </row>
    <row r="37" spans="2:12" x14ac:dyDescent="0.25">
      <c r="B37" s="3" t="s">
        <v>22</v>
      </c>
      <c r="C37" s="3"/>
      <c r="D37" s="25">
        <f>+D36*(D34+D35)</f>
        <v>8.3442961165048554E-2</v>
      </c>
      <c r="F37" s="34" t="s">
        <v>32</v>
      </c>
      <c r="G37" s="42">
        <v>1.25</v>
      </c>
      <c r="H37" s="43">
        <v>450</v>
      </c>
      <c r="I37" s="43">
        <v>900</v>
      </c>
      <c r="J37" s="35">
        <f t="shared" si="2"/>
        <v>0.5</v>
      </c>
      <c r="K37" s="45">
        <v>0.3</v>
      </c>
      <c r="L37" s="36">
        <f t="shared" si="3"/>
        <v>0.92592592592592582</v>
      </c>
    </row>
    <row r="38" spans="2:12" x14ac:dyDescent="0.25">
      <c r="F38" s="37" t="s">
        <v>33</v>
      </c>
      <c r="G38" s="38">
        <f>MEDIAN(G33:G37)</f>
        <v>1.23</v>
      </c>
      <c r="H38" s="37"/>
      <c r="I38" s="37"/>
      <c r="J38" s="39">
        <f>MEDIAN(J33:J37)</f>
        <v>0.53333333333333333</v>
      </c>
      <c r="K38" s="39">
        <f>MEDIAN(K33:K37)</f>
        <v>0.3</v>
      </c>
      <c r="L38" s="48">
        <f>G38/((1+(1-K38)*J38))</f>
        <v>0.89563106796116509</v>
      </c>
    </row>
    <row r="40" spans="2:12" x14ac:dyDescent="0.25">
      <c r="B40" s="29" t="s">
        <v>7</v>
      </c>
      <c r="C40" s="29"/>
      <c r="D40" s="30">
        <f>+D37+D32</f>
        <v>0.10844296116504856</v>
      </c>
      <c r="F40" s="29" t="s">
        <v>21</v>
      </c>
      <c r="G40" s="53">
        <f>+L38*(1+(1-L11)*H12)</f>
        <v>1.28373786407767</v>
      </c>
    </row>
    <row r="42" spans="2:12" x14ac:dyDescent="0.25">
      <c r="F42" s="1" t="s">
        <v>38</v>
      </c>
      <c r="G42" s="1" t="s">
        <v>40</v>
      </c>
    </row>
    <row r="43" spans="2:12" x14ac:dyDescent="0.25">
      <c r="F43" s="1" t="s">
        <v>39</v>
      </c>
      <c r="G43" s="1" t="s">
        <v>40</v>
      </c>
    </row>
    <row r="44" spans="2:12" x14ac:dyDescent="0.25">
      <c r="F44" s="1" t="s">
        <v>34</v>
      </c>
    </row>
    <row r="45" spans="2:12" x14ac:dyDescent="0.25">
      <c r="I45" s="2"/>
      <c r="J45" s="2"/>
      <c r="K45" s="2"/>
      <c r="L45" s="2"/>
    </row>
    <row r="46" spans="2:12" x14ac:dyDescent="0.25">
      <c r="B46" s="2"/>
      <c r="C46" s="2"/>
      <c r="D46" s="2"/>
      <c r="E46" s="2"/>
    </row>
    <row r="47" spans="2:12" x14ac:dyDescent="0.25">
      <c r="B47" s="2"/>
      <c r="C47" s="13" t="s">
        <v>0</v>
      </c>
      <c r="D47" s="2"/>
      <c r="E47" s="2"/>
      <c r="F47" s="2"/>
    </row>
    <row r="48" spans="2:12" x14ac:dyDescent="0.25">
      <c r="C48" s="10" t="s">
        <v>46</v>
      </c>
      <c r="D48" s="2"/>
      <c r="E48" s="2"/>
      <c r="F48" s="2"/>
    </row>
    <row r="49" spans="2:13" x14ac:dyDescent="0.25">
      <c r="C49" s="10" t="s">
        <v>48</v>
      </c>
      <c r="D49" s="2"/>
      <c r="E49" s="2"/>
      <c r="F49" s="2"/>
    </row>
    <row r="50" spans="2:13" x14ac:dyDescent="0.25">
      <c r="C50" s="10" t="s">
        <v>47</v>
      </c>
      <c r="D50" s="2"/>
      <c r="E50" s="2"/>
      <c r="F50" s="2"/>
    </row>
    <row r="51" spans="2:13" ht="16.5" thickBot="1" x14ac:dyDescent="0.3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</sheetData>
  <mergeCells count="2">
    <mergeCell ref="B17:B27"/>
    <mergeCell ref="C15:H15"/>
  </mergeCells>
  <conditionalFormatting sqref="D17:H2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4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WACC</vt:lpstr>
      <vt:lpstr>WACC!Print_Area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Doncel Barthe</dc:creator>
  <cp:lastModifiedBy>Michael Ford</cp:lastModifiedBy>
  <cp:lastPrinted>2022-08-21T08:21:28Z</cp:lastPrinted>
  <dcterms:created xsi:type="dcterms:W3CDTF">2022-08-20T20:22:00Z</dcterms:created>
  <dcterms:modified xsi:type="dcterms:W3CDTF">2026-10-23T18:56:58Z</dcterms:modified>
</cp:coreProperties>
</file>